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omments/comment2.xml" ContentType="application/vnd.openxmlformats-officedocument.spreadsheetml.comments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actions" sheetId="1" state="visible" r:id="rId1"/>
    <sheet xmlns:r="http://schemas.openxmlformats.org/officeDocument/2006/relationships" name="Monthly Summary" sheetId="2" state="visible" r:id="rId2"/>
    <sheet xmlns:r="http://schemas.openxmlformats.org/officeDocument/2006/relationships" name="Expense Categories" sheetId="3" state="visible" r:id="rId3"/>
    <sheet xmlns:r="http://schemas.openxmlformats.org/officeDocument/2006/relationships" name="Profit &amp; Loss" sheetId="4" state="visible" r:id="rId4"/>
    <sheet xmlns:r="http://schemas.openxmlformats.org/officeDocument/2006/relationships" name="Customer Invoices" sheetId="5" state="visible" r:id="rId5"/>
    <sheet xmlns:r="http://schemas.openxmlformats.org/officeDocument/2006/relationships" name="Dashboard" sheetId="6" state="visible" r:id="rId6"/>
  </sheets>
  <definedNames>
    <definedName name="_xlnm._FilterDatabase" localSheetId="0" hidden="1">'Transactions'!$A$1:$L$82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7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1"/>
    </font>
    <font>
      <b val="1"/>
      <color rgb="002F5496"/>
      <sz val="11"/>
    </font>
    <font>
      <b val="1"/>
      <color rgb="002F5496"/>
      <sz val="16"/>
    </font>
    <font>
      <color rgb="004472C4"/>
      <sz val="12"/>
    </font>
    <font>
      <b val="1"/>
      <color rgb="00FF0000"/>
    </font>
  </fonts>
  <fills count="5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E2EFDA"/>
        <bgColor rgb="00E2EFDA"/>
      </patternFill>
    </fill>
    <fill>
      <patternFill patternType="solid">
        <fgColor rgb="00D6E4F0"/>
        <bgColor rgb="00D6E4F0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top style="thin">
        <color rgb="002F5496"/>
      </top>
      <bottom style="double">
        <color rgb="002F5496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164" fontId="0" fillId="0" borderId="1" pivotButton="0" quotePrefix="0" xfId="0"/>
    <xf numFmtId="0" fontId="2" fillId="3" borderId="1" pivotButton="0" quotePrefix="0" xfId="0"/>
    <xf numFmtId="164" fontId="2" fillId="3" borderId="1" pivotButton="0" quotePrefix="0" xfId="0"/>
    <xf numFmtId="0" fontId="3" fillId="4" borderId="1" pivotButton="0" quotePrefix="0" xfId="0"/>
    <xf numFmtId="0" fontId="4" fillId="0" borderId="0" applyAlignment="1" pivotButton="0" quotePrefix="0" xfId="0">
      <alignment horizontal="center"/>
    </xf>
    <xf numFmtId="0" fontId="5" fillId="0" borderId="0" applyAlignment="1" pivotButton="0" quotePrefix="0" xfId="0">
      <alignment horizontal="center"/>
    </xf>
    <xf numFmtId="0" fontId="6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omments/comment1.xml><?xml version="1.0" encoding="utf-8"?>
<comments xmlns="http://schemas.openxmlformats.org/spreadsheetml/2006/main">
  <authors>
    <author>Bookkeeper</author>
  </authors>
  <commentList>
    <comment ref="B3" authorId="0" shapeId="0">
      <text>
        <t>Does not match Jan closing ($11,960.09) - discrepancy of $1,980.00</t>
      </text>
    </comment>
    <comment ref="B4" authorId="0" shapeId="0">
      <text>
        <t>Does not match Feb closing ($12,251.70) - discrepancy of $1,968.98</t>
      </text>
    </comment>
  </commentList>
</comments>
</file>

<file path=xl/comments/comment2.xml><?xml version="1.0" encoding="utf-8"?>
<comments xmlns="http://schemas.openxmlformats.org/spreadsheetml/2006/main">
  <authors>
    <author>Bookkeeper</author>
  </authors>
  <commentList>
    <comment ref="D19" authorId="0" shapeId="0">
      <text>
        <t>Excludes duplicate INV-2025-013A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0" customWidth="1" min="2" max="2"/>
    <col width="22" customWidth="1" min="3" max="3"/>
    <col width="25" customWidth="1" min="4" max="4"/>
    <col width="35" customWidth="1" min="5" max="5"/>
    <col width="14" customWidth="1" min="6" max="6"/>
    <col width="13" customWidth="1" min="7" max="7"/>
    <col width="13" customWidth="1" min="8" max="8"/>
    <col width="14" customWidth="1" min="9" max="9"/>
    <col width="14" customWidth="1" min="10" max="10"/>
    <col width="35" customWidth="1" min="11" max="11"/>
    <col width="14" customWidth="1" min="12" max="12"/>
  </cols>
  <sheetData>
    <row r="1">
      <c r="A1" s="1" t="inlineStr">
        <is>
          <t>Date</t>
        </is>
      </c>
      <c r="B1" s="1" t="inlineStr">
        <is>
          <t>Type</t>
        </is>
      </c>
      <c r="C1" s="1" t="inlineStr">
        <is>
          <t>Category</t>
        </is>
      </c>
      <c r="D1" s="1" t="inlineStr">
        <is>
          <t>Vendor/Customer</t>
        </is>
      </c>
      <c r="E1" s="1" t="inlineStr">
        <is>
          <t>Description</t>
        </is>
      </c>
      <c r="F1" s="1" t="inlineStr">
        <is>
          <t>Reference</t>
        </is>
      </c>
      <c r="G1" s="1" t="inlineStr">
        <is>
          <t>Income</t>
        </is>
      </c>
      <c r="H1" s="1" t="inlineStr">
        <is>
          <t>Expense</t>
        </is>
      </c>
      <c r="I1" s="1" t="inlineStr">
        <is>
          <t>Balance</t>
        </is>
      </c>
      <c r="J1" s="1" t="inlineStr">
        <is>
          <t>Tax Deductible</t>
        </is>
      </c>
      <c r="K1" s="1" t="inlineStr">
        <is>
          <t>Notes</t>
        </is>
      </c>
      <c r="L1" s="1" t="inlineStr">
        <is>
          <t>Bank Matched</t>
        </is>
      </c>
    </row>
    <row r="2">
      <c r="A2" s="2" t="inlineStr">
        <is>
          <t>2025-01-01</t>
        </is>
      </c>
      <c r="B2" s="2" t="inlineStr">
        <is>
          <t>Opening</t>
        </is>
      </c>
      <c r="C2" s="2" t="inlineStr">
        <is>
          <t>Opening Balance</t>
        </is>
      </c>
      <c r="D2" s="2" t="inlineStr"/>
      <c r="E2" s="2" t="inlineStr">
        <is>
          <t>Opening Balance from 2024</t>
        </is>
      </c>
      <c r="F2" s="2" t="inlineStr"/>
      <c r="G2" s="3" t="n">
        <v>0</v>
      </c>
      <c r="H2" s="3" t="n">
        <v>0</v>
      </c>
      <c r="I2" s="3" t="n">
        <v>15420</v>
      </c>
      <c r="J2" s="2" t="inlineStr">
        <is>
          <t>N</t>
        </is>
      </c>
      <c r="K2" s="2" t="inlineStr">
        <is>
          <t>From bank statement</t>
        </is>
      </c>
      <c r="L2" s="2" t="inlineStr">
        <is>
          <t>Y</t>
        </is>
      </c>
    </row>
    <row r="3">
      <c r="A3" s="2" t="inlineStr">
        <is>
          <t>2025-01-03</t>
        </is>
      </c>
      <c r="B3" s="2" t="inlineStr">
        <is>
          <t>Expense</t>
        </is>
      </c>
      <c r="C3" s="2" t="inlineStr">
        <is>
          <t>Cost of Goods Sold</t>
        </is>
      </c>
      <c r="D3" s="2" t="inlineStr">
        <is>
          <t>Pacific Coffee Importers</t>
        </is>
      </c>
      <c r="E3" s="2" t="inlineStr">
        <is>
          <t>Check #1042 - Green coffee beans</t>
        </is>
      </c>
      <c r="F3" s="2" t="inlineStr">
        <is>
          <t>CHK-1042</t>
        </is>
      </c>
      <c r="G3" s="3" t="n">
        <v>0</v>
      </c>
      <c r="H3" s="3" t="n">
        <v>1705</v>
      </c>
      <c r="I3" s="3">
        <f>I2-H3+G3</f>
        <v/>
      </c>
      <c r="J3" s="2" t="inlineStr">
        <is>
          <t>Y</t>
        </is>
      </c>
      <c r="K3" s="2" t="inlineStr"/>
      <c r="L3" s="2" t="inlineStr">
        <is>
          <t>Y</t>
        </is>
      </c>
    </row>
    <row r="4">
      <c r="A4" s="2" t="inlineStr">
        <is>
          <t>2025-01-05</t>
        </is>
      </c>
      <c r="B4" s="2" t="inlineStr">
        <is>
          <t>Income</t>
        </is>
      </c>
      <c r="C4" s="2" t="inlineStr">
        <is>
          <t>Retail Sales</t>
        </is>
      </c>
      <c r="D4" s="2" t="inlineStr">
        <is>
          <t>Online Customer</t>
        </is>
      </c>
      <c r="E4" s="2" t="inlineStr">
        <is>
          <t>Online Sale</t>
        </is>
      </c>
      <c r="F4" s="2" t="inlineStr">
        <is>
          <t>RET-2025-001</t>
        </is>
      </c>
      <c r="G4" s="3" t="n">
        <v>47.74</v>
      </c>
      <c r="H4" s="3" t="n">
        <v>0</v>
      </c>
      <c r="I4" s="3">
        <f>I3-H4+G4</f>
        <v/>
      </c>
      <c r="J4" s="2" t="inlineStr">
        <is>
          <t>N</t>
        </is>
      </c>
      <c r="K4" s="2" t="inlineStr"/>
      <c r="L4" s="2" t="inlineStr">
        <is>
          <t>Y</t>
        </is>
      </c>
    </row>
    <row r="5">
      <c r="A5" s="2" t="inlineStr">
        <is>
          <t>2025-01-06</t>
        </is>
      </c>
      <c r="B5" s="2" t="inlineStr">
        <is>
          <t>Expense</t>
        </is>
      </c>
      <c r="C5" s="2" t="inlineStr">
        <is>
          <t>Internet &amp; Phone</t>
        </is>
      </c>
      <c r="D5" s="2" t="inlineStr">
        <is>
          <t>Xfinity Business</t>
        </is>
      </c>
      <c r="E5" s="2" t="inlineStr">
        <is>
          <t>Autopay - Internet/Phone</t>
        </is>
      </c>
      <c r="F5" s="2" t="inlineStr">
        <is>
          <t>AUTO</t>
        </is>
      </c>
      <c r="G5" s="3" t="n">
        <v>0</v>
      </c>
      <c r="H5" s="3" t="n">
        <v>128.99</v>
      </c>
      <c r="I5" s="3">
        <f>I4-H5+G5</f>
        <v/>
      </c>
      <c r="J5" s="2" t="inlineStr">
        <is>
          <t>Y</t>
        </is>
      </c>
      <c r="K5" s="2" t="inlineStr"/>
      <c r="L5" s="2" t="inlineStr">
        <is>
          <t>Y</t>
        </is>
      </c>
    </row>
    <row r="6">
      <c r="A6" s="2" t="inlineStr">
        <is>
          <t>2025-01-07</t>
        </is>
      </c>
      <c r="B6" s="2" t="inlineStr">
        <is>
          <t>Expense</t>
        </is>
      </c>
      <c r="C6" s="2" t="inlineStr">
        <is>
          <t>Vehicle &amp; Fuel</t>
        </is>
      </c>
      <c r="D6" s="2" t="inlineStr">
        <is>
          <t>Shell Gas Station</t>
        </is>
      </c>
      <c r="E6" s="2" t="inlineStr">
        <is>
          <t>POS Purchase - Fuel</t>
        </is>
      </c>
      <c r="F6" s="2" t="inlineStr">
        <is>
          <t>POS</t>
        </is>
      </c>
      <c r="G6" s="3" t="n">
        <v>0</v>
      </c>
      <c r="H6" s="3" t="n">
        <v>46.72</v>
      </c>
      <c r="I6" s="3">
        <f>I5-H6+G6</f>
        <v/>
      </c>
      <c r="J6" s="2" t="inlineStr">
        <is>
          <t>Y</t>
        </is>
      </c>
      <c r="K6" s="2" t="inlineStr"/>
      <c r="L6" s="2" t="inlineStr">
        <is>
          <t>Y</t>
        </is>
      </c>
    </row>
    <row r="7">
      <c r="A7" s="2" t="inlineStr">
        <is>
          <t>2025-01-07</t>
        </is>
      </c>
      <c r="B7" s="2" t="inlineStr">
        <is>
          <t>Income</t>
        </is>
      </c>
      <c r="C7" s="2" t="inlineStr">
        <is>
          <t>Retail Sales</t>
        </is>
      </c>
      <c r="D7" s="2" t="inlineStr">
        <is>
          <t>Online Customer</t>
        </is>
      </c>
      <c r="E7" s="2" t="inlineStr">
        <is>
          <t>Online Sale</t>
        </is>
      </c>
      <c r="F7" s="2" t="inlineStr">
        <is>
          <t>RET-2025-002</t>
        </is>
      </c>
      <c r="G7" s="3" t="n">
        <v>39.17</v>
      </c>
      <c r="H7" s="3" t="n">
        <v>0</v>
      </c>
      <c r="I7" s="3">
        <f>I6-H7+G7</f>
        <v/>
      </c>
      <c r="J7" s="2" t="inlineStr">
        <is>
          <t>N</t>
        </is>
      </c>
      <c r="K7" s="2" t="inlineStr"/>
      <c r="L7" s="2" t="inlineStr">
        <is>
          <t>Y</t>
        </is>
      </c>
    </row>
    <row r="8">
      <c r="A8" s="2" t="inlineStr">
        <is>
          <t>2025-01-08</t>
        </is>
      </c>
      <c r="B8" s="2" t="inlineStr">
        <is>
          <t>Expense</t>
        </is>
      </c>
      <c r="C8" s="2" t="inlineStr">
        <is>
          <t>Packaging &amp; Supplies</t>
        </is>
      </c>
      <c r="D8" s="2" t="inlineStr">
        <is>
          <t>PackagingPro Supply</t>
        </is>
      </c>
      <c r="E8" s="2" t="inlineStr">
        <is>
          <t>POS Purchase - Packaging</t>
        </is>
      </c>
      <c r="F8" s="2" t="inlineStr">
        <is>
          <t>POS</t>
        </is>
      </c>
      <c r="G8" s="3" t="n">
        <v>0</v>
      </c>
      <c r="H8" s="3" t="n">
        <v>284.34</v>
      </c>
      <c r="I8" s="3">
        <f>I7-H8+G8</f>
        <v/>
      </c>
      <c r="J8" s="2" t="inlineStr">
        <is>
          <t>Y</t>
        </is>
      </c>
      <c r="K8" s="2" t="inlineStr"/>
      <c r="L8" s="2" t="inlineStr">
        <is>
          <t>Y</t>
        </is>
      </c>
    </row>
    <row r="9">
      <c r="A9" s="2" t="inlineStr">
        <is>
          <t>2025-01-09</t>
        </is>
      </c>
      <c r="B9" s="2" t="inlineStr">
        <is>
          <t>Income</t>
        </is>
      </c>
      <c r="C9" s="2" t="inlineStr">
        <is>
          <t>Retail Sales</t>
        </is>
      </c>
      <c r="D9" s="2" t="inlineStr">
        <is>
          <t>Online Customer</t>
        </is>
      </c>
      <c r="E9" s="2" t="inlineStr">
        <is>
          <t>Online Sale</t>
        </is>
      </c>
      <c r="F9" s="2" t="inlineStr">
        <is>
          <t>RET-2025-003</t>
        </is>
      </c>
      <c r="G9" s="3" t="n">
        <v>95.84999999999999</v>
      </c>
      <c r="H9" s="3" t="n">
        <v>0</v>
      </c>
      <c r="I9" s="3">
        <f>I8-H9+G9</f>
        <v/>
      </c>
      <c r="J9" s="2" t="inlineStr">
        <is>
          <t>N</t>
        </is>
      </c>
      <c r="K9" s="2" t="inlineStr"/>
      <c r="L9" s="2" t="inlineStr">
        <is>
          <t>Y</t>
        </is>
      </c>
    </row>
    <row r="10">
      <c r="A10" s="2" t="inlineStr">
        <is>
          <t>2025-01-10</t>
        </is>
      </c>
      <c r="B10" s="2" t="inlineStr">
        <is>
          <t>Expense</t>
        </is>
      </c>
      <c r="C10" s="2" t="inlineStr">
        <is>
          <t>Utilities</t>
        </is>
      </c>
      <c r="D10" s="2" t="inlineStr">
        <is>
          <t>Boulder Electric Co.</t>
        </is>
      </c>
      <c r="E10" s="2" t="inlineStr">
        <is>
          <t>Autopay - Electric</t>
        </is>
      </c>
      <c r="F10" s="2" t="inlineStr">
        <is>
          <t>AUTO</t>
        </is>
      </c>
      <c r="G10" s="3" t="n">
        <v>0</v>
      </c>
      <c r="H10" s="3" t="n">
        <v>198.45</v>
      </c>
      <c r="I10" s="3">
        <f>I9-H10+G10</f>
        <v/>
      </c>
      <c r="J10" s="2" t="inlineStr">
        <is>
          <t>Y</t>
        </is>
      </c>
      <c r="K10" s="2" t="inlineStr"/>
      <c r="L10" s="2" t="inlineStr">
        <is>
          <t>Y</t>
        </is>
      </c>
    </row>
    <row r="11">
      <c r="A11" s="2" t="inlineStr">
        <is>
          <t>2025-01-12</t>
        </is>
      </c>
      <c r="B11" s="2" t="inlineStr">
        <is>
          <t>Expense</t>
        </is>
      </c>
      <c r="C11" s="2" t="inlineStr">
        <is>
          <t>Shipping &amp; Delivery</t>
        </is>
      </c>
      <c r="D11" s="2" t="inlineStr">
        <is>
          <t>UPS Store</t>
        </is>
      </c>
      <c r="E11" s="2" t="inlineStr">
        <is>
          <t>POS Purchase - Shipping</t>
        </is>
      </c>
      <c r="F11" s="2" t="inlineStr">
        <is>
          <t>POS</t>
        </is>
      </c>
      <c r="G11" s="3" t="n">
        <v>0</v>
      </c>
      <c r="H11" s="3" t="n">
        <v>90.12</v>
      </c>
      <c r="I11" s="3">
        <f>I10-H11+G11</f>
        <v/>
      </c>
      <c r="J11" s="2" t="inlineStr">
        <is>
          <t>Y</t>
        </is>
      </c>
      <c r="K11" s="2" t="inlineStr"/>
      <c r="L11" s="2" t="inlineStr">
        <is>
          <t>Y</t>
        </is>
      </c>
    </row>
    <row r="12">
      <c r="A12" s="2" t="inlineStr">
        <is>
          <t>2025-01-12</t>
        </is>
      </c>
      <c r="B12" s="2" t="inlineStr">
        <is>
          <t>Income</t>
        </is>
      </c>
      <c r="C12" s="2" t="inlineStr">
        <is>
          <t>Retail Sales</t>
        </is>
      </c>
      <c r="D12" s="2" t="inlineStr">
        <is>
          <t>Online Customer</t>
        </is>
      </c>
      <c r="E12" s="2" t="inlineStr">
        <is>
          <t>Online Sale</t>
        </is>
      </c>
      <c r="F12" s="2" t="inlineStr">
        <is>
          <t>RET-2025-004</t>
        </is>
      </c>
      <c r="G12" s="3" t="n">
        <v>53.64</v>
      </c>
      <c r="H12" s="3" t="n">
        <v>0</v>
      </c>
      <c r="I12" s="3">
        <f>I11-H12+G12</f>
        <v/>
      </c>
      <c r="J12" s="2" t="inlineStr">
        <is>
          <t>N</t>
        </is>
      </c>
      <c r="K12" s="2" t="inlineStr"/>
      <c r="L12" s="2" t="inlineStr">
        <is>
          <t>Y</t>
        </is>
      </c>
    </row>
    <row r="13">
      <c r="A13" s="2" t="inlineStr">
        <is>
          <t>2025-01-14</t>
        </is>
      </c>
      <c r="B13" s="2" t="inlineStr">
        <is>
          <t>Expense</t>
        </is>
      </c>
      <c r="C13" s="2" t="inlineStr">
        <is>
          <t>Vehicle &amp; Fuel</t>
        </is>
      </c>
      <c r="D13" s="2" t="inlineStr">
        <is>
          <t>Shell Gas Station</t>
        </is>
      </c>
      <c r="E13" s="2" t="inlineStr">
        <is>
          <t>POS Purchase - Fuel</t>
        </is>
      </c>
      <c r="F13" s="2" t="inlineStr">
        <is>
          <t>POS</t>
        </is>
      </c>
      <c r="G13" s="3" t="n">
        <v>0</v>
      </c>
      <c r="H13" s="3" t="n">
        <v>51.35</v>
      </c>
      <c r="I13" s="3">
        <f>I12-H13+G13</f>
        <v/>
      </c>
      <c r="J13" s="2" t="inlineStr">
        <is>
          <t>Y</t>
        </is>
      </c>
      <c r="K13" s="2" t="inlineStr"/>
      <c r="L13" s="2" t="inlineStr">
        <is>
          <t>Y</t>
        </is>
      </c>
    </row>
    <row r="14">
      <c r="A14" s="2" t="inlineStr">
        <is>
          <t>2025-01-14</t>
        </is>
      </c>
      <c r="B14" s="2" t="inlineStr">
        <is>
          <t>Income</t>
        </is>
      </c>
      <c r="C14" s="2" t="inlineStr">
        <is>
          <t>Retail Sales</t>
        </is>
      </c>
      <c r="D14" s="2" t="inlineStr">
        <is>
          <t>Online Customer</t>
        </is>
      </c>
      <c r="E14" s="2" t="inlineStr">
        <is>
          <t>Online Sale</t>
        </is>
      </c>
      <c r="F14" s="2" t="inlineStr">
        <is>
          <t>RET-2025-005</t>
        </is>
      </c>
      <c r="G14" s="3" t="n">
        <v>39.68</v>
      </c>
      <c r="H14" s="3" t="n">
        <v>0</v>
      </c>
      <c r="I14" s="3">
        <f>I13-H14+G14</f>
        <v/>
      </c>
      <c r="J14" s="2" t="inlineStr">
        <is>
          <t>N</t>
        </is>
      </c>
      <c r="K14" s="2" t="inlineStr"/>
      <c r="L14" s="2" t="inlineStr">
        <is>
          <t>Y</t>
        </is>
      </c>
    </row>
    <row r="15">
      <c r="A15" s="2" t="inlineStr">
        <is>
          <t>2025-01-15</t>
        </is>
      </c>
      <c r="B15" s="2" t="inlineStr">
        <is>
          <t>Expense</t>
        </is>
      </c>
      <c r="C15" s="2" t="inlineStr">
        <is>
          <t>Office Supplies</t>
        </is>
      </c>
      <c r="D15" s="2" t="inlineStr">
        <is>
          <t>Office Depot</t>
        </is>
      </c>
      <c r="E15" s="2" t="inlineStr">
        <is>
          <t>POS Purchase - Office supplies</t>
        </is>
      </c>
      <c r="F15" s="2" t="inlineStr">
        <is>
          <t>POS</t>
        </is>
      </c>
      <c r="G15" s="3" t="n">
        <v>0</v>
      </c>
      <c r="H15" s="3" t="n">
        <v>109.42</v>
      </c>
      <c r="I15" s="3">
        <f>I14-H15+G15</f>
        <v/>
      </c>
      <c r="J15" s="2" t="inlineStr">
        <is>
          <t>Y</t>
        </is>
      </c>
      <c r="K15" s="2" t="inlineStr"/>
      <c r="L15" s="2" t="inlineStr">
        <is>
          <t>Y</t>
        </is>
      </c>
    </row>
    <row r="16">
      <c r="A16" s="2" t="inlineStr">
        <is>
          <t>2025-01-17</t>
        </is>
      </c>
      <c r="B16" s="2" t="inlineStr">
        <is>
          <t>Expense</t>
        </is>
      </c>
      <c r="C16" s="2" t="inlineStr">
        <is>
          <t>Cost of Goods Sold</t>
        </is>
      </c>
      <c r="D16" s="2" t="inlineStr">
        <is>
          <t>Pacific Coffee Importers</t>
        </is>
      </c>
      <c r="E16" s="2" t="inlineStr">
        <is>
          <t>Check #1043 - Green coffee beans</t>
        </is>
      </c>
      <c r="F16" s="2" t="inlineStr">
        <is>
          <t>CHK-1043</t>
        </is>
      </c>
      <c r="G16" s="3" t="n">
        <v>0</v>
      </c>
      <c r="H16" s="3" t="n">
        <v>1540</v>
      </c>
      <c r="I16" s="3">
        <f>I15-H16+G16</f>
        <v/>
      </c>
      <c r="J16" s="2" t="inlineStr">
        <is>
          <t>Y</t>
        </is>
      </c>
      <c r="K16" s="2" t="inlineStr"/>
      <c r="L16" s="2" t="inlineStr">
        <is>
          <t>Y</t>
        </is>
      </c>
    </row>
    <row r="17">
      <c r="A17" s="2" t="inlineStr">
        <is>
          <t>2025-01-17</t>
        </is>
      </c>
      <c r="B17" s="2" t="inlineStr">
        <is>
          <t>Income</t>
        </is>
      </c>
      <c r="C17" s="2" t="inlineStr">
        <is>
          <t>Retail Sales</t>
        </is>
      </c>
      <c r="D17" s="2" t="inlineStr">
        <is>
          <t>Online Customer</t>
        </is>
      </c>
      <c r="E17" s="2" t="inlineStr">
        <is>
          <t>Online Sale</t>
        </is>
      </c>
      <c r="F17" s="2" t="inlineStr">
        <is>
          <t>RET-2025-006</t>
        </is>
      </c>
      <c r="G17" s="3" t="n">
        <v>39.16</v>
      </c>
      <c r="H17" s="3" t="n">
        <v>0</v>
      </c>
      <c r="I17" s="3">
        <f>I16-H17+G17</f>
        <v/>
      </c>
      <c r="J17" s="2" t="inlineStr">
        <is>
          <t>N</t>
        </is>
      </c>
      <c r="K17" s="2" t="inlineStr"/>
      <c r="L17" s="2" t="inlineStr">
        <is>
          <t>Y</t>
        </is>
      </c>
    </row>
    <row r="18">
      <c r="A18" s="2" t="inlineStr">
        <is>
          <t>2025-01-18</t>
        </is>
      </c>
      <c r="B18" s="2" t="inlineStr">
        <is>
          <t>Income</t>
        </is>
      </c>
      <c r="C18" s="2" t="inlineStr">
        <is>
          <t>Wholesale</t>
        </is>
      </c>
      <c r="D18" s="2" t="inlineStr">
        <is>
          <t>The Daily Grind Cafe</t>
        </is>
      </c>
      <c r="E18" s="2" t="inlineStr">
        <is>
          <t>Deposit - Wholesale order</t>
        </is>
      </c>
      <c r="F18" s="2" t="inlineStr">
        <is>
          <t>INV-2025-001</t>
        </is>
      </c>
      <c r="G18" s="3" t="n">
        <v>386</v>
      </c>
      <c r="H18" s="3" t="n">
        <v>0</v>
      </c>
      <c r="I18" s="3">
        <f>I17-H18+G18</f>
        <v/>
      </c>
      <c r="J18" s="2" t="inlineStr">
        <is>
          <t>N</t>
        </is>
      </c>
      <c r="K18" s="2" t="inlineStr"/>
      <c r="L18" s="2" t="inlineStr">
        <is>
          <t>Y</t>
        </is>
      </c>
    </row>
    <row r="19">
      <c r="A19" s="2" t="inlineStr">
        <is>
          <t>2025-01-19</t>
        </is>
      </c>
      <c r="B19" s="2" t="inlineStr">
        <is>
          <t>Income</t>
        </is>
      </c>
      <c r="C19" s="2" t="inlineStr">
        <is>
          <t>Retail Sales</t>
        </is>
      </c>
      <c r="D19" s="2" t="inlineStr">
        <is>
          <t>Online Customer</t>
        </is>
      </c>
      <c r="E19" s="2" t="inlineStr">
        <is>
          <t>Online Sale</t>
        </is>
      </c>
      <c r="F19" s="2" t="inlineStr">
        <is>
          <t>RET-2025-007</t>
        </is>
      </c>
      <c r="G19" s="3" t="n">
        <v>60.61</v>
      </c>
      <c r="H19" s="3" t="n">
        <v>0</v>
      </c>
      <c r="I19" s="3">
        <f>I18-H19+G19</f>
        <v/>
      </c>
      <c r="J19" s="2" t="inlineStr">
        <is>
          <t>N</t>
        </is>
      </c>
      <c r="K19" s="2" t="inlineStr"/>
      <c r="L19" s="2" t="inlineStr">
        <is>
          <t>Y</t>
        </is>
      </c>
    </row>
    <row r="20">
      <c r="A20" s="2" t="inlineStr">
        <is>
          <t>2025-01-21</t>
        </is>
      </c>
      <c r="B20" s="2" t="inlineStr">
        <is>
          <t>Expense</t>
        </is>
      </c>
      <c r="C20" s="2" t="inlineStr">
        <is>
          <t>Vehicle &amp; Fuel</t>
        </is>
      </c>
      <c r="D20" s="2" t="inlineStr">
        <is>
          <t>Shell Gas Station</t>
        </is>
      </c>
      <c r="E20" s="2" t="inlineStr">
        <is>
          <t>POS Purchase - Fuel</t>
        </is>
      </c>
      <c r="F20" s="2" t="inlineStr">
        <is>
          <t>POS</t>
        </is>
      </c>
      <c r="G20" s="3" t="n">
        <v>0</v>
      </c>
      <c r="H20" s="3" t="n">
        <v>43.07</v>
      </c>
      <c r="I20" s="3">
        <f>I19-H20+G20</f>
        <v/>
      </c>
      <c r="J20" s="2" t="inlineStr">
        <is>
          <t>Y</t>
        </is>
      </c>
      <c r="K20" s="2" t="inlineStr"/>
      <c r="L20" s="2" t="inlineStr">
        <is>
          <t>Y</t>
        </is>
      </c>
    </row>
    <row r="21">
      <c r="A21" s="2" t="inlineStr">
        <is>
          <t>2025-01-22</t>
        </is>
      </c>
      <c r="B21" s="2" t="inlineStr">
        <is>
          <t>Income</t>
        </is>
      </c>
      <c r="C21" s="2" t="inlineStr">
        <is>
          <t>Wholesale</t>
        </is>
      </c>
      <c r="D21" s="2" t="inlineStr">
        <is>
          <t>Sunrise Espresso Bar</t>
        </is>
      </c>
      <c r="E21" s="2" t="inlineStr">
        <is>
          <t>Deposit - Wholesale order</t>
        </is>
      </c>
      <c r="F21" s="2" t="inlineStr">
        <is>
          <t>INV-2025-002</t>
        </is>
      </c>
      <c r="G21" s="3" t="n">
        <v>304</v>
      </c>
      <c r="H21" s="3" t="n">
        <v>0</v>
      </c>
      <c r="I21" s="3">
        <f>I20-H21+G21</f>
        <v/>
      </c>
      <c r="J21" s="2" t="inlineStr">
        <is>
          <t>N</t>
        </is>
      </c>
      <c r="K21" s="2" t="inlineStr"/>
      <c r="L21" s="2" t="inlineStr">
        <is>
          <t>Y</t>
        </is>
      </c>
    </row>
    <row r="22">
      <c r="A22" s="2" t="inlineStr">
        <is>
          <t>2025-01-22</t>
        </is>
      </c>
      <c r="B22" s="2" t="inlineStr">
        <is>
          <t>Income</t>
        </is>
      </c>
      <c r="C22" s="2" t="inlineStr">
        <is>
          <t>Retail Sales</t>
        </is>
      </c>
      <c r="D22" s="2" t="inlineStr">
        <is>
          <t>Online Customer</t>
        </is>
      </c>
      <c r="E22" s="2" t="inlineStr">
        <is>
          <t>Online Sale</t>
        </is>
      </c>
      <c r="F22" s="2" t="inlineStr">
        <is>
          <t>RET-2025-008</t>
        </is>
      </c>
      <c r="G22" s="3" t="n">
        <v>73.34999999999999</v>
      </c>
      <c r="H22" s="3" t="n">
        <v>0</v>
      </c>
      <c r="I22" s="3">
        <f>I21-H22+G22</f>
        <v/>
      </c>
      <c r="J22" s="2" t="inlineStr">
        <is>
          <t>N</t>
        </is>
      </c>
      <c r="K22" s="2" t="inlineStr"/>
      <c r="L22" s="2" t="inlineStr">
        <is>
          <t>Y</t>
        </is>
      </c>
    </row>
    <row r="23">
      <c r="A23" s="2" t="inlineStr">
        <is>
          <t>2025-01-24</t>
        </is>
      </c>
      <c r="B23" s="2" t="inlineStr">
        <is>
          <t>Expense</t>
        </is>
      </c>
      <c r="C23" s="2" t="inlineStr">
        <is>
          <t>Equipment &amp; Maintenance</t>
        </is>
      </c>
      <c r="D23" s="2" t="inlineStr">
        <is>
          <t>Coffee Tech Services</t>
        </is>
      </c>
      <c r="E23" s="2" t="inlineStr">
        <is>
          <t>Check #1044 - Equipment service</t>
        </is>
      </c>
      <c r="F23" s="2" t="inlineStr">
        <is>
          <t>CHK-1044</t>
        </is>
      </c>
      <c r="G23" s="3" t="n">
        <v>0</v>
      </c>
      <c r="H23" s="3" t="n">
        <v>386.28</v>
      </c>
      <c r="I23" s="3">
        <f>I22-H23+G23</f>
        <v/>
      </c>
      <c r="J23" s="2" t="inlineStr">
        <is>
          <t>Y</t>
        </is>
      </c>
      <c r="K23" s="2" t="inlineStr"/>
      <c r="L23" s="2" t="inlineStr">
        <is>
          <t>Y</t>
        </is>
      </c>
    </row>
    <row r="24">
      <c r="A24" s="2" t="inlineStr">
        <is>
          <t>2025-01-25</t>
        </is>
      </c>
      <c r="B24" s="2" t="inlineStr">
        <is>
          <t>Income</t>
        </is>
      </c>
      <c r="C24" s="2" t="inlineStr">
        <is>
          <t>Retail Sales</t>
        </is>
      </c>
      <c r="D24" s="2" t="inlineStr">
        <is>
          <t>Online Customer</t>
        </is>
      </c>
      <c r="E24" s="2" t="inlineStr">
        <is>
          <t>Online Sale</t>
        </is>
      </c>
      <c r="F24" s="2" t="inlineStr">
        <is>
          <t>RET-2025-009</t>
        </is>
      </c>
      <c r="G24" s="3" t="n">
        <v>43.45</v>
      </c>
      <c r="H24" s="3" t="n">
        <v>0</v>
      </c>
      <c r="I24" s="3">
        <f>I23-H24+G24</f>
        <v/>
      </c>
      <c r="J24" s="2" t="inlineStr">
        <is>
          <t>N</t>
        </is>
      </c>
      <c r="K24" s="2" t="inlineStr"/>
      <c r="L24" s="2" t="inlineStr">
        <is>
          <t>Y</t>
        </is>
      </c>
    </row>
    <row r="25">
      <c r="A25" s="2" t="inlineStr">
        <is>
          <t>2025-01-26</t>
        </is>
      </c>
      <c r="B25" s="2" t="inlineStr">
        <is>
          <t>Expense</t>
        </is>
      </c>
      <c r="C25" s="2" t="inlineStr">
        <is>
          <t>Shipping &amp; Delivery</t>
        </is>
      </c>
      <c r="D25" s="2" t="inlineStr">
        <is>
          <t>UPS Store</t>
        </is>
      </c>
      <c r="E25" s="2" t="inlineStr">
        <is>
          <t>POS Purchase - Shipping</t>
        </is>
      </c>
      <c r="F25" s="2" t="inlineStr">
        <is>
          <t>POS</t>
        </is>
      </c>
      <c r="G25" s="3" t="n">
        <v>0</v>
      </c>
      <c r="H25" s="3" t="n">
        <v>75.09999999999999</v>
      </c>
      <c r="I25" s="3">
        <f>I24-H25+G25</f>
        <v/>
      </c>
      <c r="J25" s="2" t="inlineStr">
        <is>
          <t>Y</t>
        </is>
      </c>
      <c r="K25" s="2" t="inlineStr"/>
      <c r="L25" s="2" t="inlineStr">
        <is>
          <t>Y</t>
        </is>
      </c>
    </row>
    <row r="26">
      <c r="A26" s="2" t="inlineStr">
        <is>
          <t>2025-01-28</t>
        </is>
      </c>
      <c r="B26" s="2" t="inlineStr">
        <is>
          <t>Expense</t>
        </is>
      </c>
      <c r="C26" s="2" t="inlineStr">
        <is>
          <t>Vehicle &amp; Fuel</t>
        </is>
      </c>
      <c r="D26" s="2" t="inlineStr">
        <is>
          <t>Shell Gas Station</t>
        </is>
      </c>
      <c r="E26" s="2" t="inlineStr">
        <is>
          <t>POS Purchase - Fuel</t>
        </is>
      </c>
      <c r="F26" s="2" t="inlineStr">
        <is>
          <t>POS</t>
        </is>
      </c>
      <c r="G26" s="3" t="n">
        <v>0</v>
      </c>
      <c r="H26" s="3" t="n">
        <v>51.84</v>
      </c>
      <c r="I26" s="3">
        <f>I25-H26+G26</f>
        <v/>
      </c>
      <c r="J26" s="2" t="inlineStr">
        <is>
          <t>Y</t>
        </is>
      </c>
      <c r="K26" s="2" t="inlineStr"/>
      <c r="L26" s="2" t="inlineStr">
        <is>
          <t>Y</t>
        </is>
      </c>
    </row>
    <row r="27">
      <c r="A27" s="2" t="inlineStr">
        <is>
          <t>2025-01-28</t>
        </is>
      </c>
      <c r="B27" s="2" t="inlineStr">
        <is>
          <t>Income</t>
        </is>
      </c>
      <c r="C27" s="2" t="inlineStr">
        <is>
          <t>Retail Sales</t>
        </is>
      </c>
      <c r="D27" s="2" t="inlineStr">
        <is>
          <t>Online Customer</t>
        </is>
      </c>
      <c r="E27" s="2" t="inlineStr">
        <is>
          <t>Online Sale</t>
        </is>
      </c>
      <c r="F27" s="2" t="inlineStr">
        <is>
          <t>RET-2025-010</t>
        </is>
      </c>
      <c r="G27" s="3" t="n">
        <v>68.12</v>
      </c>
      <c r="H27" s="3" t="n">
        <v>0</v>
      </c>
      <c r="I27" s="3">
        <f>I26-H27+G27</f>
        <v/>
      </c>
      <c r="J27" s="2" t="inlineStr">
        <is>
          <t>N</t>
        </is>
      </c>
      <c r="K27" s="2" t="inlineStr"/>
      <c r="L27" s="2" t="inlineStr">
        <is>
          <t>Y</t>
        </is>
      </c>
    </row>
    <row r="28">
      <c r="A28" s="2" t="inlineStr">
        <is>
          <t>2025-02-02</t>
        </is>
      </c>
      <c r="B28" s="2" t="inlineStr">
        <is>
          <t>Income</t>
        </is>
      </c>
      <c r="C28" s="2" t="inlineStr">
        <is>
          <t>Retail Sales</t>
        </is>
      </c>
      <c r="D28" s="2" t="inlineStr">
        <is>
          <t>Online Customer</t>
        </is>
      </c>
      <c r="E28" s="2" t="inlineStr">
        <is>
          <t>Online Sale</t>
        </is>
      </c>
      <c r="F28" s="2" t="inlineStr">
        <is>
          <t>RET-2025-011</t>
        </is>
      </c>
      <c r="G28" s="3" t="n">
        <v>53.64</v>
      </c>
      <c r="H28" s="3" t="n">
        <v>0</v>
      </c>
      <c r="I28" s="3">
        <f>I27-H28+G28</f>
        <v/>
      </c>
      <c r="J28" s="2" t="inlineStr">
        <is>
          <t>N</t>
        </is>
      </c>
      <c r="K28" s="2" t="inlineStr">
        <is>
          <t>NOTE: Bank Feb opening ($13,940.09) does not match Jan closing ($11,960.09)</t>
        </is>
      </c>
      <c r="L28" s="2" t="inlineStr">
        <is>
          <t>Y</t>
        </is>
      </c>
    </row>
    <row r="29">
      <c r="A29" s="2" t="inlineStr">
        <is>
          <t>2025-02-03</t>
        </is>
      </c>
      <c r="B29" s="2" t="inlineStr">
        <is>
          <t>Income</t>
        </is>
      </c>
      <c r="C29" s="2" t="inlineStr">
        <is>
          <t>Wholesale</t>
        </is>
      </c>
      <c r="D29" s="2" t="inlineStr">
        <is>
          <t>The Daily Grind Cafe</t>
        </is>
      </c>
      <c r="E29" s="2" t="inlineStr">
        <is>
          <t>Deposit - Wholesale order</t>
        </is>
      </c>
      <c r="F29" s="2" t="inlineStr">
        <is>
          <t>INV-2025-004</t>
        </is>
      </c>
      <c r="G29" s="3" t="n">
        <v>482</v>
      </c>
      <c r="H29" s="3" t="n">
        <v>0</v>
      </c>
      <c r="I29" s="3">
        <f>I28-H29+G29</f>
        <v/>
      </c>
      <c r="J29" s="2" t="inlineStr">
        <is>
          <t>N</t>
        </is>
      </c>
      <c r="K29" s="2" t="inlineStr"/>
      <c r="L29" s="2" t="inlineStr">
        <is>
          <t>Y</t>
        </is>
      </c>
    </row>
    <row r="30">
      <c r="A30" s="2" t="inlineStr">
        <is>
          <t>2025-02-03</t>
        </is>
      </c>
      <c r="B30" s="2" t="inlineStr">
        <is>
          <t>Expense</t>
        </is>
      </c>
      <c r="C30" s="2" t="inlineStr">
        <is>
          <t>Cost of Goods Sold</t>
        </is>
      </c>
      <c r="D30" s="2" t="inlineStr">
        <is>
          <t>Pacific Coffee Importers</t>
        </is>
      </c>
      <c r="E30" s="2" t="inlineStr">
        <is>
          <t>Check #1045 - Green coffee beans</t>
        </is>
      </c>
      <c r="F30" s="2" t="inlineStr">
        <is>
          <t>CHK-1045</t>
        </is>
      </c>
      <c r="G30" s="3" t="n">
        <v>0</v>
      </c>
      <c r="H30" s="3" t="n">
        <v>1765</v>
      </c>
      <c r="I30" s="3">
        <f>I29-H30+G30</f>
        <v/>
      </c>
      <c r="J30" s="2" t="inlineStr">
        <is>
          <t>Y</t>
        </is>
      </c>
      <c r="K30" s="2" t="inlineStr"/>
      <c r="L30" s="2" t="inlineStr">
        <is>
          <t>Y</t>
        </is>
      </c>
    </row>
    <row r="31">
      <c r="A31" s="2" t="inlineStr">
        <is>
          <t>2025-02-05</t>
        </is>
      </c>
      <c r="B31" s="2" t="inlineStr">
        <is>
          <t>Expense</t>
        </is>
      </c>
      <c r="C31" s="2" t="inlineStr">
        <is>
          <t>Vehicle &amp; Fuel</t>
        </is>
      </c>
      <c r="D31" s="2" t="inlineStr">
        <is>
          <t>Shell Gas Station</t>
        </is>
      </c>
      <c r="E31" s="2" t="inlineStr">
        <is>
          <t>POS Purchase - Fuel</t>
        </is>
      </c>
      <c r="F31" s="2" t="inlineStr">
        <is>
          <t>POS</t>
        </is>
      </c>
      <c r="G31" s="3" t="n">
        <v>0</v>
      </c>
      <c r="H31" s="3" t="n">
        <v>49.58</v>
      </c>
      <c r="I31" s="3">
        <f>I30-H31+G31</f>
        <v/>
      </c>
      <c r="J31" s="2" t="inlineStr">
        <is>
          <t>Y</t>
        </is>
      </c>
      <c r="K31" s="2" t="inlineStr"/>
      <c r="L31" s="2" t="inlineStr">
        <is>
          <t>Y</t>
        </is>
      </c>
    </row>
    <row r="32">
      <c r="A32" s="2" t="inlineStr">
        <is>
          <t>2025-02-05</t>
        </is>
      </c>
      <c r="B32" s="2" t="inlineStr">
        <is>
          <t>Income</t>
        </is>
      </c>
      <c r="C32" s="2" t="inlineStr">
        <is>
          <t>Wholesale</t>
        </is>
      </c>
      <c r="D32" s="2" t="inlineStr">
        <is>
          <t>Sunrise Espresso Bar</t>
        </is>
      </c>
      <c r="E32" s="2" t="inlineStr">
        <is>
          <t>Deposit - Wholesale order</t>
        </is>
      </c>
      <c r="F32" s="2" t="inlineStr">
        <is>
          <t>INV-2025-005</t>
        </is>
      </c>
      <c r="G32" s="3" t="n">
        <v>410</v>
      </c>
      <c r="H32" s="3" t="n">
        <v>0</v>
      </c>
      <c r="I32" s="3">
        <f>I31-H32+G32</f>
        <v/>
      </c>
      <c r="J32" s="2" t="inlineStr">
        <is>
          <t>N</t>
        </is>
      </c>
      <c r="K32" s="2" t="inlineStr"/>
      <c r="L32" s="2" t="inlineStr">
        <is>
          <t>Y</t>
        </is>
      </c>
    </row>
    <row r="33">
      <c r="A33" s="2" t="inlineStr">
        <is>
          <t>2025-02-05</t>
        </is>
      </c>
      <c r="B33" s="2" t="inlineStr">
        <is>
          <t>Income</t>
        </is>
      </c>
      <c r="C33" s="2" t="inlineStr">
        <is>
          <t>Retail Sales</t>
        </is>
      </c>
      <c r="D33" s="2" t="inlineStr">
        <is>
          <t>Online Customer</t>
        </is>
      </c>
      <c r="E33" s="2" t="inlineStr">
        <is>
          <t>Online Sale</t>
        </is>
      </c>
      <c r="F33" s="2" t="inlineStr">
        <is>
          <t>RET-2025-012</t>
        </is>
      </c>
      <c r="G33" s="3" t="n">
        <v>61.68</v>
      </c>
      <c r="H33" s="3" t="n">
        <v>0</v>
      </c>
      <c r="I33" s="3">
        <f>I32-H33+G33</f>
        <v/>
      </c>
      <c r="J33" s="2" t="inlineStr">
        <is>
          <t>N</t>
        </is>
      </c>
      <c r="K33" s="2" t="inlineStr"/>
      <c r="L33" s="2" t="inlineStr">
        <is>
          <t>Y</t>
        </is>
      </c>
    </row>
    <row r="34">
      <c r="A34" s="2" t="inlineStr">
        <is>
          <t>2025-02-06</t>
        </is>
      </c>
      <c r="B34" s="2" t="inlineStr">
        <is>
          <t>Expense</t>
        </is>
      </c>
      <c r="C34" s="2" t="inlineStr">
        <is>
          <t>Internet &amp; Phone</t>
        </is>
      </c>
      <c r="D34" s="2" t="inlineStr">
        <is>
          <t>Xfinity Business</t>
        </is>
      </c>
      <c r="E34" s="2" t="inlineStr">
        <is>
          <t>Autopay - Internet/Phone</t>
        </is>
      </c>
      <c r="F34" s="2" t="inlineStr">
        <is>
          <t>AUTO</t>
        </is>
      </c>
      <c r="G34" s="3" t="n">
        <v>0</v>
      </c>
      <c r="H34" s="3" t="n">
        <v>128.99</v>
      </c>
      <c r="I34" s="3">
        <f>I33-H34+G34</f>
        <v/>
      </c>
      <c r="J34" s="2" t="inlineStr">
        <is>
          <t>Y</t>
        </is>
      </c>
      <c r="K34" s="2" t="inlineStr"/>
      <c r="L34" s="2" t="inlineStr">
        <is>
          <t>Y</t>
        </is>
      </c>
    </row>
    <row r="35">
      <c r="A35" s="2" t="inlineStr">
        <is>
          <t>2025-02-08</t>
        </is>
      </c>
      <c r="B35" s="2" t="inlineStr">
        <is>
          <t>Expense</t>
        </is>
      </c>
      <c r="C35" s="2" t="inlineStr">
        <is>
          <t>Packaging &amp; Supplies</t>
        </is>
      </c>
      <c r="D35" s="2" t="inlineStr">
        <is>
          <t>PackagingPro Supply</t>
        </is>
      </c>
      <c r="E35" s="2" t="inlineStr">
        <is>
          <t>POS Purchase - Packaging</t>
        </is>
      </c>
      <c r="F35" s="2" t="inlineStr">
        <is>
          <t>POS</t>
        </is>
      </c>
      <c r="G35" s="3" t="n">
        <v>0</v>
      </c>
      <c r="H35" s="3" t="n">
        <v>531.14</v>
      </c>
      <c r="I35" s="3">
        <f>I34-H35+G35</f>
        <v/>
      </c>
      <c r="J35" s="2" t="inlineStr">
        <is>
          <t>Y</t>
        </is>
      </c>
      <c r="K35" s="2" t="inlineStr"/>
      <c r="L35" s="2" t="inlineStr">
        <is>
          <t>Y</t>
        </is>
      </c>
    </row>
    <row r="36">
      <c r="A36" s="2" t="inlineStr">
        <is>
          <t>2025-02-08</t>
        </is>
      </c>
      <c r="B36" s="2" t="inlineStr">
        <is>
          <t>Income</t>
        </is>
      </c>
      <c r="C36" s="2" t="inlineStr">
        <is>
          <t>Retail Sales</t>
        </is>
      </c>
      <c r="D36" s="2" t="inlineStr">
        <is>
          <t>Online Customer</t>
        </is>
      </c>
      <c r="E36" s="2" t="inlineStr">
        <is>
          <t>Online Sale</t>
        </is>
      </c>
      <c r="F36" s="2" t="inlineStr">
        <is>
          <t>RET-2025-013</t>
        </is>
      </c>
      <c r="G36" s="3" t="n">
        <v>36.46</v>
      </c>
      <c r="H36" s="3" t="n">
        <v>0</v>
      </c>
      <c r="I36" s="3">
        <f>I35-H36+G36</f>
        <v/>
      </c>
      <c r="J36" s="2" t="inlineStr">
        <is>
          <t>N</t>
        </is>
      </c>
      <c r="K36" s="2" t="inlineStr"/>
      <c r="L36" s="2" t="inlineStr">
        <is>
          <t>Y</t>
        </is>
      </c>
    </row>
    <row r="37">
      <c r="A37" s="2" t="inlineStr">
        <is>
          <t>2025-02-10</t>
        </is>
      </c>
      <c r="B37" s="2" t="inlineStr">
        <is>
          <t>Expense</t>
        </is>
      </c>
      <c r="C37" s="2" t="inlineStr">
        <is>
          <t>Utilities</t>
        </is>
      </c>
      <c r="D37" s="2" t="inlineStr">
        <is>
          <t>Boulder Electric Co.</t>
        </is>
      </c>
      <c r="E37" s="2" t="inlineStr">
        <is>
          <t>Autopay - Electric</t>
        </is>
      </c>
      <c r="F37" s="2" t="inlineStr">
        <is>
          <t>AUTO</t>
        </is>
      </c>
      <c r="G37" s="3" t="n">
        <v>0</v>
      </c>
      <c r="H37" s="3" t="n">
        <v>215.78</v>
      </c>
      <c r="I37" s="3">
        <f>I36-H37+G37</f>
        <v/>
      </c>
      <c r="J37" s="2" t="inlineStr">
        <is>
          <t>Y</t>
        </is>
      </c>
      <c r="K37" s="2" t="inlineStr"/>
      <c r="L37" s="2" t="inlineStr">
        <is>
          <t>Y</t>
        </is>
      </c>
    </row>
    <row r="38">
      <c r="A38" s="2" t="inlineStr">
        <is>
          <t>2025-02-10</t>
        </is>
      </c>
      <c r="B38" s="2" t="inlineStr">
        <is>
          <t>Income</t>
        </is>
      </c>
      <c r="C38" s="2" t="inlineStr">
        <is>
          <t>Wholesale</t>
        </is>
      </c>
      <c r="D38" s="2" t="inlineStr">
        <is>
          <t>Mountain View Bistro</t>
        </is>
      </c>
      <c r="E38" s="2" t="inlineStr">
        <is>
          <t>ACH Deposit - Wholesale order</t>
        </is>
      </c>
      <c r="F38" s="2" t="inlineStr">
        <is>
          <t>INV-2025-003</t>
        </is>
      </c>
      <c r="G38" s="3" t="n">
        <v>790.88</v>
      </c>
      <c r="H38" s="3" t="n">
        <v>0</v>
      </c>
      <c r="I38" s="3">
        <f>I37-H38+G38</f>
        <v/>
      </c>
      <c r="J38" s="2" t="inlineStr">
        <is>
          <t>N</t>
        </is>
      </c>
      <c r="K38" s="2" t="inlineStr"/>
      <c r="L38" s="2" t="inlineStr">
        <is>
          <t>Y</t>
        </is>
      </c>
    </row>
    <row r="39">
      <c r="A39" s="2" t="inlineStr">
        <is>
          <t>2025-02-10</t>
        </is>
      </c>
      <c r="B39" s="2" t="inlineStr">
        <is>
          <t>Income</t>
        </is>
      </c>
      <c r="C39" s="2" t="inlineStr">
        <is>
          <t>Retail Sales</t>
        </is>
      </c>
      <c r="D39" s="2" t="inlineStr">
        <is>
          <t>Online Customer</t>
        </is>
      </c>
      <c r="E39" s="2" t="inlineStr">
        <is>
          <t>Online Sale</t>
        </is>
      </c>
      <c r="F39" s="2" t="inlineStr">
        <is>
          <t>RET-2025-014</t>
        </is>
      </c>
      <c r="G39" s="3" t="n">
        <v>59.55</v>
      </c>
      <c r="H39" s="3" t="n">
        <v>0</v>
      </c>
      <c r="I39" s="3">
        <f>I38-H39+G39</f>
        <v/>
      </c>
      <c r="J39" s="2" t="inlineStr">
        <is>
          <t>N</t>
        </is>
      </c>
      <c r="K39" s="2" t="inlineStr"/>
      <c r="L39" s="2" t="inlineStr">
        <is>
          <t>Y</t>
        </is>
      </c>
    </row>
    <row r="40">
      <c r="A40" s="2" t="inlineStr">
        <is>
          <t>2025-02-11</t>
        </is>
      </c>
      <c r="B40" s="2" t="inlineStr">
        <is>
          <t>Expense</t>
        </is>
      </c>
      <c r="C40" s="2" t="inlineStr">
        <is>
          <t>Shipping &amp; Delivery</t>
        </is>
      </c>
      <c r="D40" s="2" t="inlineStr">
        <is>
          <t>UPS Store</t>
        </is>
      </c>
      <c r="E40" s="2" t="inlineStr">
        <is>
          <t>POS Purchase - Shipping</t>
        </is>
      </c>
      <c r="F40" s="2" t="inlineStr">
        <is>
          <t>POS</t>
        </is>
      </c>
      <c r="G40" s="3" t="n">
        <v>0</v>
      </c>
      <c r="H40" s="3" t="n">
        <v>118.56</v>
      </c>
      <c r="I40" s="3">
        <f>I39-H40+G40</f>
        <v/>
      </c>
      <c r="J40" s="2" t="inlineStr">
        <is>
          <t>Y</t>
        </is>
      </c>
      <c r="K40" s="2" t="inlineStr"/>
      <c r="L40" s="2" t="inlineStr">
        <is>
          <t>Y</t>
        </is>
      </c>
    </row>
    <row r="41">
      <c r="A41" s="2" t="inlineStr">
        <is>
          <t>2025-02-12</t>
        </is>
      </c>
      <c r="B41" s="2" t="inlineStr">
        <is>
          <t>Expense</t>
        </is>
      </c>
      <c r="C41" s="2" t="inlineStr">
        <is>
          <t>Vehicle &amp; Fuel</t>
        </is>
      </c>
      <c r="D41" s="2" t="inlineStr">
        <is>
          <t>Shell Gas Station</t>
        </is>
      </c>
      <c r="E41" s="2" t="inlineStr">
        <is>
          <t>POS Purchase - Fuel</t>
        </is>
      </c>
      <c r="F41" s="2" t="inlineStr">
        <is>
          <t>POS</t>
        </is>
      </c>
      <c r="G41" s="3" t="n">
        <v>0</v>
      </c>
      <c r="H41" s="3" t="n">
        <v>50.01</v>
      </c>
      <c r="I41" s="3">
        <f>I40-H41+G41</f>
        <v/>
      </c>
      <c r="J41" s="2" t="inlineStr">
        <is>
          <t>Y</t>
        </is>
      </c>
      <c r="K41" s="2" t="inlineStr"/>
      <c r="L41" s="2" t="inlineStr">
        <is>
          <t>Y</t>
        </is>
      </c>
    </row>
    <row r="42">
      <c r="A42" s="2" t="inlineStr">
        <is>
          <t>2025-02-13</t>
        </is>
      </c>
      <c r="B42" s="2" t="inlineStr">
        <is>
          <t>Income</t>
        </is>
      </c>
      <c r="C42" s="2" t="inlineStr">
        <is>
          <t>Retail Sales</t>
        </is>
      </c>
      <c r="D42" s="2" t="inlineStr">
        <is>
          <t>Online Customer</t>
        </is>
      </c>
      <c r="E42" s="2" t="inlineStr">
        <is>
          <t>Online Sale</t>
        </is>
      </c>
      <c r="F42" s="2" t="inlineStr">
        <is>
          <t>RET-2025-015</t>
        </is>
      </c>
      <c r="G42" s="3" t="n">
        <v>71.33</v>
      </c>
      <c r="H42" s="3" t="n">
        <v>0</v>
      </c>
      <c r="I42" s="3">
        <f>I41-H42+G42</f>
        <v/>
      </c>
      <c r="J42" s="2" t="inlineStr">
        <is>
          <t>N</t>
        </is>
      </c>
      <c r="K42" s="2" t="inlineStr"/>
      <c r="L42" s="2" t="inlineStr">
        <is>
          <t>Y</t>
        </is>
      </c>
    </row>
    <row r="43">
      <c r="A43" s="2" t="inlineStr">
        <is>
          <t>2025-02-14</t>
        </is>
      </c>
      <c r="B43" s="2" t="inlineStr">
        <is>
          <t>Expense</t>
        </is>
      </c>
      <c r="C43" s="2" t="inlineStr">
        <is>
          <t>Office Supplies</t>
        </is>
      </c>
      <c r="D43" s="2" t="inlineStr">
        <is>
          <t>Office Depot</t>
        </is>
      </c>
      <c r="E43" s="2" t="inlineStr">
        <is>
          <t>POS Purchase - Office supplies</t>
        </is>
      </c>
      <c r="F43" s="2" t="inlineStr">
        <is>
          <t>POS</t>
        </is>
      </c>
      <c r="G43" s="3" t="n">
        <v>0</v>
      </c>
      <c r="H43" s="3" t="n">
        <v>53.61</v>
      </c>
      <c r="I43" s="3">
        <f>I42-H43+G43</f>
        <v/>
      </c>
      <c r="J43" s="2" t="inlineStr">
        <is>
          <t>Y</t>
        </is>
      </c>
      <c r="K43" s="2" t="inlineStr"/>
      <c r="L43" s="2" t="inlineStr">
        <is>
          <t>Y</t>
        </is>
      </c>
    </row>
    <row r="44">
      <c r="A44" s="2" t="inlineStr">
        <is>
          <t>2025-02-15</t>
        </is>
      </c>
      <c r="B44" s="2" t="inlineStr">
        <is>
          <t>Income</t>
        </is>
      </c>
      <c r="C44" s="2" t="inlineStr">
        <is>
          <t>Retail Sales</t>
        </is>
      </c>
      <c r="D44" s="2" t="inlineStr">
        <is>
          <t>Online Customer</t>
        </is>
      </c>
      <c r="E44" s="2" t="inlineStr">
        <is>
          <t>Online Sale</t>
        </is>
      </c>
      <c r="F44" s="2" t="inlineStr">
        <is>
          <t>RET-2025-016</t>
        </is>
      </c>
      <c r="G44" s="3" t="n">
        <v>45.6</v>
      </c>
      <c r="H44" s="3" t="n">
        <v>0</v>
      </c>
      <c r="I44" s="3">
        <f>I43-H44+G44</f>
        <v/>
      </c>
      <c r="J44" s="2" t="inlineStr">
        <is>
          <t>N</t>
        </is>
      </c>
      <c r="K44" s="2" t="inlineStr"/>
      <c r="L44" s="2" t="inlineStr">
        <is>
          <t>Y</t>
        </is>
      </c>
    </row>
    <row r="45">
      <c r="A45" s="2" t="inlineStr">
        <is>
          <t>2025-02-17</t>
        </is>
      </c>
      <c r="B45" s="2" t="inlineStr">
        <is>
          <t>Income</t>
        </is>
      </c>
      <c r="C45" s="2" t="inlineStr">
        <is>
          <t>Wholesale</t>
        </is>
      </c>
      <c r="D45" s="2" t="inlineStr">
        <is>
          <t>The Daily Grind Cafe</t>
        </is>
      </c>
      <c r="E45" s="2" t="inlineStr">
        <is>
          <t>Deposit - Wholesale order</t>
        </is>
      </c>
      <c r="F45" s="2" t="inlineStr">
        <is>
          <t>INV-2025-006</t>
        </is>
      </c>
      <c r="G45" s="3" t="n">
        <v>548</v>
      </c>
      <c r="H45" s="3" t="n">
        <v>0</v>
      </c>
      <c r="I45" s="3">
        <f>I44-H45+G45</f>
        <v/>
      </c>
      <c r="J45" s="2" t="inlineStr">
        <is>
          <t>N</t>
        </is>
      </c>
      <c r="K45" s="2" t="inlineStr"/>
      <c r="L45" s="2" t="inlineStr">
        <is>
          <t>Y</t>
        </is>
      </c>
    </row>
    <row r="46">
      <c r="A46" s="2" t="inlineStr">
        <is>
          <t>2025-02-18</t>
        </is>
      </c>
      <c r="B46" s="2" t="inlineStr">
        <is>
          <t>Expense</t>
        </is>
      </c>
      <c r="C46" s="2" t="inlineStr">
        <is>
          <t>Cost of Goods Sold</t>
        </is>
      </c>
      <c r="D46" s="2" t="inlineStr">
        <is>
          <t>Pacific Coffee Importers</t>
        </is>
      </c>
      <c r="E46" s="2" t="inlineStr">
        <is>
          <t>Check #1046 - Green coffee beans</t>
        </is>
      </c>
      <c r="F46" s="2" t="inlineStr">
        <is>
          <t>CHK-1046</t>
        </is>
      </c>
      <c r="G46" s="3" t="n">
        <v>0</v>
      </c>
      <c r="H46" s="3" t="n">
        <v>1695</v>
      </c>
      <c r="I46" s="3">
        <f>I45-H46+G46</f>
        <v/>
      </c>
      <c r="J46" s="2" t="inlineStr">
        <is>
          <t>Y</t>
        </is>
      </c>
      <c r="K46" s="2" t="inlineStr"/>
      <c r="L46" s="2" t="inlineStr">
        <is>
          <t>Y</t>
        </is>
      </c>
    </row>
    <row r="47">
      <c r="A47" s="2" t="inlineStr">
        <is>
          <t>2025-02-18</t>
        </is>
      </c>
      <c r="B47" s="2" t="inlineStr">
        <is>
          <t>Income</t>
        </is>
      </c>
      <c r="C47" s="2" t="inlineStr">
        <is>
          <t>Retail Sales</t>
        </is>
      </c>
      <c r="D47" s="2" t="inlineStr">
        <is>
          <t>Online Customer</t>
        </is>
      </c>
      <c r="E47" s="2" t="inlineStr">
        <is>
          <t>Online Sale</t>
        </is>
      </c>
      <c r="F47" s="2" t="inlineStr">
        <is>
          <t>RET-2025-017</t>
        </is>
      </c>
      <c r="G47" s="3" t="n">
        <v>58.46</v>
      </c>
      <c r="H47" s="3" t="n">
        <v>0</v>
      </c>
      <c r="I47" s="3">
        <f>I46-H47+G47</f>
        <v/>
      </c>
      <c r="J47" s="2" t="inlineStr">
        <is>
          <t>N</t>
        </is>
      </c>
      <c r="K47" s="2" t="inlineStr"/>
      <c r="L47" s="2" t="inlineStr">
        <is>
          <t>Y</t>
        </is>
      </c>
    </row>
    <row r="48">
      <c r="A48" s="2" t="inlineStr">
        <is>
          <t>2025-02-19</t>
        </is>
      </c>
      <c r="B48" s="2" t="inlineStr">
        <is>
          <t>Expense</t>
        </is>
      </c>
      <c r="C48" s="2" t="inlineStr">
        <is>
          <t>Vehicle &amp; Fuel</t>
        </is>
      </c>
      <c r="D48" s="2" t="inlineStr">
        <is>
          <t>Shell Gas Station</t>
        </is>
      </c>
      <c r="E48" s="2" t="inlineStr">
        <is>
          <t>POS Purchase - Fuel</t>
        </is>
      </c>
      <c r="F48" s="2" t="inlineStr">
        <is>
          <t>POS</t>
        </is>
      </c>
      <c r="G48" s="3" t="n">
        <v>0</v>
      </c>
      <c r="H48" s="3" t="n">
        <v>47.46</v>
      </c>
      <c r="I48" s="3">
        <f>I47-H48+G48</f>
        <v/>
      </c>
      <c r="J48" s="2" t="inlineStr">
        <is>
          <t>Y</t>
        </is>
      </c>
      <c r="K48" s="2" t="inlineStr"/>
      <c r="L48" s="2" t="inlineStr">
        <is>
          <t>Y</t>
        </is>
      </c>
    </row>
    <row r="49">
      <c r="A49" s="2" t="inlineStr">
        <is>
          <t>2025-02-19</t>
        </is>
      </c>
      <c r="B49" s="2" t="inlineStr">
        <is>
          <t>Income</t>
        </is>
      </c>
      <c r="C49" s="2" t="inlineStr">
        <is>
          <t>Wholesale</t>
        </is>
      </c>
      <c r="D49" s="2" t="inlineStr">
        <is>
          <t>Sunrise Espresso Bar</t>
        </is>
      </c>
      <c r="E49" s="2" t="inlineStr">
        <is>
          <t>Deposit - Wholesale order</t>
        </is>
      </c>
      <c r="F49" s="2" t="inlineStr">
        <is>
          <t>INV-2025-007</t>
        </is>
      </c>
      <c r="G49" s="3" t="n">
        <v>362</v>
      </c>
      <c r="H49" s="3" t="n">
        <v>0</v>
      </c>
      <c r="I49" s="3">
        <f>I48-H49+G49</f>
        <v/>
      </c>
      <c r="J49" s="2" t="inlineStr">
        <is>
          <t>N</t>
        </is>
      </c>
      <c r="K49" s="2" t="inlineStr"/>
      <c r="L49" s="2" t="inlineStr">
        <is>
          <t>Y</t>
        </is>
      </c>
    </row>
    <row r="50">
      <c r="A50" s="2" t="inlineStr">
        <is>
          <t>2025-02-21</t>
        </is>
      </c>
      <c r="B50" s="2" t="inlineStr">
        <is>
          <t>Income</t>
        </is>
      </c>
      <c r="C50" s="2" t="inlineStr">
        <is>
          <t>Retail Sales</t>
        </is>
      </c>
      <c r="D50" s="2" t="inlineStr">
        <is>
          <t>Online Customer</t>
        </is>
      </c>
      <c r="E50" s="2" t="inlineStr">
        <is>
          <t>Online Sale</t>
        </is>
      </c>
      <c r="F50" s="2" t="inlineStr">
        <is>
          <t>RET-2025-018</t>
        </is>
      </c>
      <c r="G50" s="3" t="n">
        <v>53.64</v>
      </c>
      <c r="H50" s="3" t="n">
        <v>0</v>
      </c>
      <c r="I50" s="3">
        <f>I49-H50+G50</f>
        <v/>
      </c>
      <c r="J50" s="2" t="inlineStr">
        <is>
          <t>N</t>
        </is>
      </c>
      <c r="K50" s="2" t="inlineStr"/>
      <c r="L50" s="2" t="inlineStr">
        <is>
          <t>Y</t>
        </is>
      </c>
    </row>
    <row r="51">
      <c r="A51" s="2" t="inlineStr">
        <is>
          <t>2025-02-24</t>
        </is>
      </c>
      <c r="B51" s="2" t="inlineStr">
        <is>
          <t>Expense</t>
        </is>
      </c>
      <c r="C51" s="2" t="inlineStr">
        <is>
          <t>Shipping &amp; Delivery</t>
        </is>
      </c>
      <c r="D51" s="2" t="inlineStr">
        <is>
          <t>UPS Store</t>
        </is>
      </c>
      <c r="E51" s="2" t="inlineStr">
        <is>
          <t>POS Purchase - Shipping</t>
        </is>
      </c>
      <c r="F51" s="2" t="inlineStr">
        <is>
          <t>POS</t>
        </is>
      </c>
      <c r="G51" s="3" t="n">
        <v>0</v>
      </c>
      <c r="H51" s="3" t="n">
        <v>127.68</v>
      </c>
      <c r="I51" s="3">
        <f>I50-H51+G51</f>
        <v/>
      </c>
      <c r="J51" s="2" t="inlineStr">
        <is>
          <t>Y</t>
        </is>
      </c>
      <c r="K51" s="2" t="inlineStr"/>
      <c r="L51" s="2" t="inlineStr">
        <is>
          <t>Y</t>
        </is>
      </c>
    </row>
    <row r="52">
      <c r="A52" s="2" t="inlineStr">
        <is>
          <t>2025-02-24</t>
        </is>
      </c>
      <c r="B52" s="2" t="inlineStr">
        <is>
          <t>Income</t>
        </is>
      </c>
      <c r="C52" s="2" t="inlineStr">
        <is>
          <t>Retail Sales</t>
        </is>
      </c>
      <c r="D52" s="2" t="inlineStr">
        <is>
          <t>Online Customer</t>
        </is>
      </c>
      <c r="E52" s="2" t="inlineStr">
        <is>
          <t>Online Sale</t>
        </is>
      </c>
      <c r="F52" s="2" t="inlineStr">
        <is>
          <t>RET-2025-019</t>
        </is>
      </c>
      <c r="G52" s="3" t="n">
        <v>86.2</v>
      </c>
      <c r="H52" s="3" t="n">
        <v>0</v>
      </c>
      <c r="I52" s="3">
        <f>I51-H52+G52</f>
        <v/>
      </c>
      <c r="J52" s="2" t="inlineStr">
        <is>
          <t>N</t>
        </is>
      </c>
      <c r="K52" s="2" t="inlineStr"/>
      <c r="L52" s="2" t="inlineStr">
        <is>
          <t>Y</t>
        </is>
      </c>
    </row>
    <row r="53">
      <c r="A53" s="2" t="inlineStr">
        <is>
          <t>2025-02-26</t>
        </is>
      </c>
      <c r="B53" s="2" t="inlineStr">
        <is>
          <t>Expense</t>
        </is>
      </c>
      <c r="C53" s="2" t="inlineStr">
        <is>
          <t>Vehicle &amp; Fuel</t>
        </is>
      </c>
      <c r="D53" s="2" t="inlineStr">
        <is>
          <t>Shell Gas Station</t>
        </is>
      </c>
      <c r="E53" s="2" t="inlineStr">
        <is>
          <t>POS Purchase - Fuel</t>
        </is>
      </c>
      <c r="F53" s="2" t="inlineStr">
        <is>
          <t>POS</t>
        </is>
      </c>
      <c r="G53" s="3" t="n">
        <v>0</v>
      </c>
      <c r="H53" s="3" t="n">
        <v>51.31</v>
      </c>
      <c r="I53" s="3">
        <f>I52-H53+G53</f>
        <v/>
      </c>
      <c r="J53" s="2" t="inlineStr">
        <is>
          <t>Y</t>
        </is>
      </c>
      <c r="K53" s="2" t="inlineStr"/>
      <c r="L53" s="2" t="inlineStr">
        <is>
          <t>Y</t>
        </is>
      </c>
    </row>
    <row r="54">
      <c r="A54" s="2" t="inlineStr">
        <is>
          <t>2025-02-27</t>
        </is>
      </c>
      <c r="B54" s="2" t="inlineStr">
        <is>
          <t>Income</t>
        </is>
      </c>
      <c r="C54" s="2" t="inlineStr">
        <is>
          <t>Retail Sales</t>
        </is>
      </c>
      <c r="D54" s="2" t="inlineStr">
        <is>
          <t>Online Customer</t>
        </is>
      </c>
      <c r="E54" s="2" t="inlineStr">
        <is>
          <t>Online Sale</t>
        </is>
      </c>
      <c r="F54" s="2" t="inlineStr">
        <is>
          <t>RET-2025-020</t>
        </is>
      </c>
      <c r="G54" s="3" t="n">
        <v>26.29</v>
      </c>
      <c r="H54" s="3" t="n">
        <v>0</v>
      </c>
      <c r="I54" s="3">
        <f>I53-H54+G54</f>
        <v/>
      </c>
      <c r="J54" s="2" t="inlineStr">
        <is>
          <t>N</t>
        </is>
      </c>
      <c r="K54" s="2" t="inlineStr"/>
      <c r="L54" s="2" t="inlineStr">
        <is>
          <t>Y</t>
        </is>
      </c>
    </row>
    <row r="55">
      <c r="A55" s="2" t="inlineStr">
        <is>
          <t>2025-03-02</t>
        </is>
      </c>
      <c r="B55" s="2" t="inlineStr">
        <is>
          <t>Income</t>
        </is>
      </c>
      <c r="C55" s="2" t="inlineStr">
        <is>
          <t>Retail Sales</t>
        </is>
      </c>
      <c r="D55" s="2" t="inlineStr">
        <is>
          <t>Online Customer</t>
        </is>
      </c>
      <c r="E55" s="2" t="inlineStr">
        <is>
          <t>Online Sale</t>
        </is>
      </c>
      <c r="F55" s="2" t="inlineStr">
        <is>
          <t>RET-2025-021</t>
        </is>
      </c>
      <c r="G55" s="3" t="n">
        <v>32.18</v>
      </c>
      <c r="H55" s="3" t="n">
        <v>0</v>
      </c>
      <c r="I55" s="3">
        <f>I54-H55+G55</f>
        <v/>
      </c>
      <c r="J55" s="2" t="inlineStr">
        <is>
          <t>N</t>
        </is>
      </c>
      <c r="K55" s="2" t="inlineStr">
        <is>
          <t>NOTE: Bank Mar opening ($14,220.68) does not match Feb closing ($12,251.70)</t>
        </is>
      </c>
      <c r="L55" s="2" t="inlineStr">
        <is>
          <t>Y</t>
        </is>
      </c>
    </row>
    <row r="56">
      <c r="A56" s="2" t="inlineStr">
        <is>
          <t>2025-03-03</t>
        </is>
      </c>
      <c r="B56" s="2" t="inlineStr">
        <is>
          <t>Expense</t>
        </is>
      </c>
      <c r="C56" s="2" t="inlineStr">
        <is>
          <t>Cost of Goods Sold</t>
        </is>
      </c>
      <c r="D56" s="2" t="inlineStr">
        <is>
          <t>Pacific Coffee Importers</t>
        </is>
      </c>
      <c r="E56" s="2" t="inlineStr">
        <is>
          <t>Check #1047 - Green coffee beans</t>
        </is>
      </c>
      <c r="F56" s="2" t="inlineStr">
        <is>
          <t>CHK-1047</t>
        </is>
      </c>
      <c r="G56" s="3" t="n">
        <v>0</v>
      </c>
      <c r="H56" s="3" t="n">
        <v>1980</v>
      </c>
      <c r="I56" s="3">
        <f>I55-H56+G56</f>
        <v/>
      </c>
      <c r="J56" s="2" t="inlineStr">
        <is>
          <t>Y</t>
        </is>
      </c>
      <c r="K56" s="2" t="inlineStr"/>
      <c r="L56" s="2" t="inlineStr">
        <is>
          <t>Y</t>
        </is>
      </c>
    </row>
    <row r="57">
      <c r="A57" s="2" t="inlineStr">
        <is>
          <t>2025-03-03</t>
        </is>
      </c>
      <c r="B57" s="2" t="inlineStr">
        <is>
          <t>Income</t>
        </is>
      </c>
      <c r="C57" s="2" t="inlineStr">
        <is>
          <t>Wholesale</t>
        </is>
      </c>
      <c r="D57" s="2" t="inlineStr">
        <is>
          <t>The Daily Grind Cafe</t>
        </is>
      </c>
      <c r="E57" s="2" t="inlineStr">
        <is>
          <t>Deposit - Wholesale order</t>
        </is>
      </c>
      <c r="F57" s="2" t="inlineStr">
        <is>
          <t>INV-2025-009</t>
        </is>
      </c>
      <c r="G57" s="3" t="n">
        <v>466</v>
      </c>
      <c r="H57" s="3" t="n">
        <v>0</v>
      </c>
      <c r="I57" s="3">
        <f>I56-H57+G57</f>
        <v/>
      </c>
      <c r="J57" s="2" t="inlineStr">
        <is>
          <t>N</t>
        </is>
      </c>
      <c r="K57" s="2" t="inlineStr"/>
      <c r="L57" s="2" t="inlineStr">
        <is>
          <t>Y</t>
        </is>
      </c>
    </row>
    <row r="58">
      <c r="A58" s="2" t="inlineStr">
        <is>
          <t>2025-03-05</t>
        </is>
      </c>
      <c r="B58" s="2" t="inlineStr">
        <is>
          <t>Expense</t>
        </is>
      </c>
      <c r="C58" s="2" t="inlineStr">
        <is>
          <t>Vehicle &amp; Fuel</t>
        </is>
      </c>
      <c r="D58" s="2" t="inlineStr">
        <is>
          <t>Shell Gas Station</t>
        </is>
      </c>
      <c r="E58" s="2" t="inlineStr">
        <is>
          <t>POS Purchase - Fuel</t>
        </is>
      </c>
      <c r="F58" s="2" t="inlineStr">
        <is>
          <t>POS</t>
        </is>
      </c>
      <c r="G58" s="3" t="n">
        <v>0</v>
      </c>
      <c r="H58" s="3" t="n">
        <v>56.24</v>
      </c>
      <c r="I58" s="3">
        <f>I57-H58+G58</f>
        <v/>
      </c>
      <c r="J58" s="2" t="inlineStr">
        <is>
          <t>Y</t>
        </is>
      </c>
      <c r="K58" s="2" t="inlineStr"/>
      <c r="L58" s="2" t="inlineStr">
        <is>
          <t>Y</t>
        </is>
      </c>
    </row>
    <row r="59">
      <c r="A59" s="2" t="inlineStr">
        <is>
          <t>2025-03-05</t>
        </is>
      </c>
      <c r="B59" s="2" t="inlineStr">
        <is>
          <t>Income</t>
        </is>
      </c>
      <c r="C59" s="2" t="inlineStr">
        <is>
          <t>Wholesale</t>
        </is>
      </c>
      <c r="D59" s="2" t="inlineStr">
        <is>
          <t>Sunrise Espresso Bar</t>
        </is>
      </c>
      <c r="E59" s="2" t="inlineStr">
        <is>
          <t>Deposit - Wholesale order</t>
        </is>
      </c>
      <c r="F59" s="2" t="inlineStr">
        <is>
          <t>INV-2025-010</t>
        </is>
      </c>
      <c r="G59" s="3" t="n">
        <v>484</v>
      </c>
      <c r="H59" s="3" t="n">
        <v>0</v>
      </c>
      <c r="I59" s="3">
        <f>I58-H59+G59</f>
        <v/>
      </c>
      <c r="J59" s="2" t="inlineStr">
        <is>
          <t>N</t>
        </is>
      </c>
      <c r="K59" s="2" t="inlineStr"/>
      <c r="L59" s="2" t="inlineStr">
        <is>
          <t>Y</t>
        </is>
      </c>
    </row>
    <row r="60">
      <c r="A60" s="2" t="inlineStr">
        <is>
          <t>2025-03-05</t>
        </is>
      </c>
      <c r="B60" s="2" t="inlineStr">
        <is>
          <t>Income</t>
        </is>
      </c>
      <c r="C60" s="2" t="inlineStr">
        <is>
          <t>Retail Sales</t>
        </is>
      </c>
      <c r="D60" s="2" t="inlineStr">
        <is>
          <t>Online Customer</t>
        </is>
      </c>
      <c r="E60" s="2" t="inlineStr">
        <is>
          <t>Online Sale</t>
        </is>
      </c>
      <c r="F60" s="2" t="inlineStr">
        <is>
          <t>RET-2025-022</t>
        </is>
      </c>
      <c r="G60" s="3" t="n">
        <v>55.24</v>
      </c>
      <c r="H60" s="3" t="n">
        <v>0</v>
      </c>
      <c r="I60" s="3">
        <f>I59-H60+G60</f>
        <v/>
      </c>
      <c r="J60" s="2" t="inlineStr">
        <is>
          <t>N</t>
        </is>
      </c>
      <c r="K60" s="2" t="inlineStr"/>
      <c r="L60" s="2" t="inlineStr">
        <is>
          <t>Y</t>
        </is>
      </c>
    </row>
    <row r="61">
      <c r="A61" s="2" t="inlineStr">
        <is>
          <t>2025-03-06</t>
        </is>
      </c>
      <c r="B61" s="2" t="inlineStr">
        <is>
          <t>Expense</t>
        </is>
      </c>
      <c r="C61" s="2" t="inlineStr">
        <is>
          <t>Internet &amp; Phone</t>
        </is>
      </c>
      <c r="D61" s="2" t="inlineStr">
        <is>
          <t>Xfinity Business</t>
        </is>
      </c>
      <c r="E61" s="2" t="inlineStr">
        <is>
          <t>Autopay - Internet/Phone</t>
        </is>
      </c>
      <c r="F61" s="2" t="inlineStr">
        <is>
          <t>AUTO</t>
        </is>
      </c>
      <c r="G61" s="3" t="n">
        <v>0</v>
      </c>
      <c r="H61" s="3" t="n">
        <v>128.99</v>
      </c>
      <c r="I61" s="3">
        <f>I60-H61+G61</f>
        <v/>
      </c>
      <c r="J61" s="2" t="inlineStr">
        <is>
          <t>Y</t>
        </is>
      </c>
      <c r="K61" s="2" t="inlineStr"/>
      <c r="L61" s="2" t="inlineStr">
        <is>
          <t>Y</t>
        </is>
      </c>
    </row>
    <row r="62">
      <c r="A62" s="2" t="inlineStr">
        <is>
          <t>2025-03-07</t>
        </is>
      </c>
      <c r="B62" s="2" t="inlineStr">
        <is>
          <t>Expense</t>
        </is>
      </c>
      <c r="C62" s="2" t="inlineStr">
        <is>
          <t>Packaging &amp; Supplies</t>
        </is>
      </c>
      <c r="D62" s="2" t="inlineStr">
        <is>
          <t>PackagingPro Supply</t>
        </is>
      </c>
      <c r="E62" s="2" t="inlineStr">
        <is>
          <t>POS Purchase - Packaging</t>
        </is>
      </c>
      <c r="F62" s="2" t="inlineStr">
        <is>
          <t>POS</t>
        </is>
      </c>
      <c r="G62" s="3" t="n">
        <v>0</v>
      </c>
      <c r="H62" s="3" t="n">
        <v>520.41</v>
      </c>
      <c r="I62" s="3">
        <f>I61-H62+G62</f>
        <v/>
      </c>
      <c r="J62" s="2" t="inlineStr">
        <is>
          <t>Y</t>
        </is>
      </c>
      <c r="K62" s="2" t="inlineStr"/>
      <c r="L62" s="2" t="inlineStr">
        <is>
          <t>Y</t>
        </is>
      </c>
    </row>
    <row r="63">
      <c r="A63" s="2" t="inlineStr">
        <is>
          <t>2025-03-08</t>
        </is>
      </c>
      <c r="B63" s="2" t="inlineStr">
        <is>
          <t>Income</t>
        </is>
      </c>
      <c r="C63" s="2" t="inlineStr">
        <is>
          <t>Retail Sales</t>
        </is>
      </c>
      <c r="D63" s="2" t="inlineStr">
        <is>
          <t>Online Customer</t>
        </is>
      </c>
      <c r="E63" s="2" t="inlineStr">
        <is>
          <t>Online Sale</t>
        </is>
      </c>
      <c r="F63" s="2" t="inlineStr">
        <is>
          <t>RET-2025-023</t>
        </is>
      </c>
      <c r="G63" s="3" t="n">
        <v>63.83</v>
      </c>
      <c r="H63" s="3" t="n">
        <v>0</v>
      </c>
      <c r="I63" s="3">
        <f>I62-H63+G63</f>
        <v/>
      </c>
      <c r="J63" s="2" t="inlineStr">
        <is>
          <t>N</t>
        </is>
      </c>
      <c r="K63" s="2" t="inlineStr"/>
      <c r="L63" s="2" t="inlineStr">
        <is>
          <t>Y</t>
        </is>
      </c>
    </row>
    <row r="64">
      <c r="A64" s="2" t="inlineStr">
        <is>
          <t>2025-03-10</t>
        </is>
      </c>
      <c r="B64" s="2" t="inlineStr">
        <is>
          <t>Expense</t>
        </is>
      </c>
      <c r="C64" s="2" t="inlineStr">
        <is>
          <t>Utilities</t>
        </is>
      </c>
      <c r="D64" s="2" t="inlineStr">
        <is>
          <t>Boulder Electric Co.</t>
        </is>
      </c>
      <c r="E64" s="2" t="inlineStr">
        <is>
          <t>Autopay - Electric</t>
        </is>
      </c>
      <c r="F64" s="2" t="inlineStr">
        <is>
          <t>AUTO</t>
        </is>
      </c>
      <c r="G64" s="3" t="n">
        <v>0</v>
      </c>
      <c r="H64" s="3" t="n">
        <v>187.23</v>
      </c>
      <c r="I64" s="3">
        <f>I63-H64+G64</f>
        <v/>
      </c>
      <c r="J64" s="2" t="inlineStr">
        <is>
          <t>Y</t>
        </is>
      </c>
      <c r="K64" s="2" t="inlineStr"/>
      <c r="L64" s="2" t="inlineStr">
        <is>
          <t>Y</t>
        </is>
      </c>
    </row>
    <row r="65">
      <c r="A65" s="2" t="inlineStr">
        <is>
          <t>2025-03-11</t>
        </is>
      </c>
      <c r="B65" s="2" t="inlineStr">
        <is>
          <t>Income</t>
        </is>
      </c>
      <c r="C65" s="2" t="inlineStr">
        <is>
          <t>Retail Sales</t>
        </is>
      </c>
      <c r="D65" s="2" t="inlineStr">
        <is>
          <t>Online Customer</t>
        </is>
      </c>
      <c r="E65" s="2" t="inlineStr">
        <is>
          <t>Online Sale</t>
        </is>
      </c>
      <c r="F65" s="2" t="inlineStr">
        <is>
          <t>RET-2025-024</t>
        </is>
      </c>
      <c r="G65" s="3" t="n">
        <v>53.64</v>
      </c>
      <c r="H65" s="3" t="n">
        <v>0</v>
      </c>
      <c r="I65" s="3">
        <f>I64-H65+G65</f>
        <v/>
      </c>
      <c r="J65" s="2" t="inlineStr">
        <is>
          <t>N</t>
        </is>
      </c>
      <c r="K65" s="2" t="inlineStr"/>
      <c r="L65" s="2" t="inlineStr">
        <is>
          <t>Y</t>
        </is>
      </c>
    </row>
    <row r="66">
      <c r="A66" s="2" t="inlineStr">
        <is>
          <t>2025-03-12</t>
        </is>
      </c>
      <c r="B66" s="2" t="inlineStr">
        <is>
          <t>Expense</t>
        </is>
      </c>
      <c r="C66" s="2" t="inlineStr">
        <is>
          <t>Vehicle &amp; Fuel</t>
        </is>
      </c>
      <c r="D66" s="2" t="inlineStr">
        <is>
          <t>Shell Gas Station</t>
        </is>
      </c>
      <c r="E66" s="2" t="inlineStr">
        <is>
          <t>POS Purchase - Fuel</t>
        </is>
      </c>
      <c r="F66" s="2" t="inlineStr">
        <is>
          <t>POS</t>
        </is>
      </c>
      <c r="G66" s="3" t="n">
        <v>0</v>
      </c>
      <c r="H66" s="3" t="n">
        <v>51.3</v>
      </c>
      <c r="I66" s="3">
        <f>I65-H66+G66</f>
        <v/>
      </c>
      <c r="J66" s="2" t="inlineStr">
        <is>
          <t>Y</t>
        </is>
      </c>
      <c r="K66" s="2" t="inlineStr"/>
      <c r="L66" s="2" t="inlineStr">
        <is>
          <t>Y</t>
        </is>
      </c>
    </row>
    <row r="67">
      <c r="A67" s="2" t="inlineStr">
        <is>
          <t>2025-03-12</t>
        </is>
      </c>
      <c r="B67" s="2" t="inlineStr">
        <is>
          <t>Income</t>
        </is>
      </c>
      <c r="C67" s="2" t="inlineStr">
        <is>
          <t>Wholesale</t>
        </is>
      </c>
      <c r="D67" s="2" t="inlineStr">
        <is>
          <t>Mountain View Bistro</t>
        </is>
      </c>
      <c r="E67" s="2" t="inlineStr">
        <is>
          <t>ACH Deposit - Wholesale order</t>
        </is>
      </c>
      <c r="F67" s="2" t="inlineStr">
        <is>
          <t>INV-2025-008</t>
        </is>
      </c>
      <c r="G67" s="3" t="n">
        <v>938</v>
      </c>
      <c r="H67" s="3" t="n">
        <v>0</v>
      </c>
      <c r="I67" s="3">
        <f>I66-H67+G67</f>
        <v/>
      </c>
      <c r="J67" s="2" t="inlineStr">
        <is>
          <t>N</t>
        </is>
      </c>
      <c r="K67" s="2" t="inlineStr"/>
      <c r="L67" s="2" t="inlineStr">
        <is>
          <t>Y</t>
        </is>
      </c>
    </row>
    <row r="68">
      <c r="A68" s="2" t="inlineStr">
        <is>
          <t>2025-03-13</t>
        </is>
      </c>
      <c r="B68" s="2" t="inlineStr">
        <is>
          <t>Expense</t>
        </is>
      </c>
      <c r="C68" s="2" t="inlineStr">
        <is>
          <t>Shipping &amp; Delivery</t>
        </is>
      </c>
      <c r="D68" s="2" t="inlineStr">
        <is>
          <t>UPS Store</t>
        </is>
      </c>
      <c r="E68" s="2" t="inlineStr">
        <is>
          <t>POS Purchase - Shipping</t>
        </is>
      </c>
      <c r="F68" s="2" t="inlineStr">
        <is>
          <t>POS</t>
        </is>
      </c>
      <c r="G68" s="3" t="n">
        <v>0</v>
      </c>
      <c r="H68" s="3" t="n">
        <v>118.03</v>
      </c>
      <c r="I68" s="3">
        <f>I67-H68+G68</f>
        <v/>
      </c>
      <c r="J68" s="2" t="inlineStr">
        <is>
          <t>Y</t>
        </is>
      </c>
      <c r="K68" s="2" t="inlineStr"/>
      <c r="L68" s="2" t="inlineStr">
        <is>
          <t>Y</t>
        </is>
      </c>
    </row>
    <row r="69">
      <c r="A69" s="2" t="inlineStr">
        <is>
          <t>2025-03-14</t>
        </is>
      </c>
      <c r="B69" s="2" t="inlineStr">
        <is>
          <t>Income</t>
        </is>
      </c>
      <c r="C69" s="2" t="inlineStr">
        <is>
          <t>Retail Sales</t>
        </is>
      </c>
      <c r="D69" s="2" t="inlineStr">
        <is>
          <t>Online Customer</t>
        </is>
      </c>
      <c r="E69" s="2" t="inlineStr">
        <is>
          <t>Online Sale</t>
        </is>
      </c>
      <c r="F69" s="2" t="inlineStr">
        <is>
          <t>RET-2025-025</t>
        </is>
      </c>
      <c r="G69" s="3" t="n">
        <v>64.90000000000001</v>
      </c>
      <c r="H69" s="3" t="n">
        <v>0</v>
      </c>
      <c r="I69" s="3">
        <f>I68-H69+G69</f>
        <v/>
      </c>
      <c r="J69" s="2" t="inlineStr">
        <is>
          <t>N</t>
        </is>
      </c>
      <c r="K69" s="2" t="inlineStr"/>
      <c r="L69" s="2" t="inlineStr">
        <is>
          <t>Y</t>
        </is>
      </c>
    </row>
    <row r="70">
      <c r="A70" s="2" t="inlineStr">
        <is>
          <t>2025-03-15</t>
        </is>
      </c>
      <c r="B70" s="2" t="inlineStr">
        <is>
          <t>Expense</t>
        </is>
      </c>
      <c r="C70" s="2" t="inlineStr">
        <is>
          <t>Office Supplies</t>
        </is>
      </c>
      <c r="D70" s="2" t="inlineStr">
        <is>
          <t>Office Depot</t>
        </is>
      </c>
      <c r="E70" s="2" t="inlineStr">
        <is>
          <t>POS Purchase - Office supplies</t>
        </is>
      </c>
      <c r="F70" s="2" t="inlineStr">
        <is>
          <t>POS</t>
        </is>
      </c>
      <c r="G70" s="3" t="n">
        <v>0</v>
      </c>
      <c r="H70" s="3" t="n">
        <v>86.88</v>
      </c>
      <c r="I70" s="3">
        <f>I69-H70+G70</f>
        <v/>
      </c>
      <c r="J70" s="2" t="inlineStr">
        <is>
          <t>Y</t>
        </is>
      </c>
      <c r="K70" s="2" t="inlineStr"/>
      <c r="L70" s="2" t="inlineStr">
        <is>
          <t>Y</t>
        </is>
      </c>
    </row>
    <row r="71">
      <c r="A71" s="2" t="inlineStr">
        <is>
          <t>2025-03-17</t>
        </is>
      </c>
      <c r="B71" s="2" t="inlineStr">
        <is>
          <t>Expense</t>
        </is>
      </c>
      <c r="C71" s="2" t="inlineStr">
        <is>
          <t>Cost of Goods Sold</t>
        </is>
      </c>
      <c r="D71" s="2" t="inlineStr">
        <is>
          <t>Pacific Coffee Importers</t>
        </is>
      </c>
      <c r="E71" s="2" t="inlineStr">
        <is>
          <t>Check #1048 - Green coffee beans</t>
        </is>
      </c>
      <c r="F71" s="2" t="inlineStr">
        <is>
          <t>CHK-1048</t>
        </is>
      </c>
      <c r="G71" s="3" t="n">
        <v>0</v>
      </c>
      <c r="H71" s="3" t="n">
        <v>2070</v>
      </c>
      <c r="I71" s="3">
        <f>I70-H71+G71</f>
        <v/>
      </c>
      <c r="J71" s="2" t="inlineStr">
        <is>
          <t>Y</t>
        </is>
      </c>
      <c r="K71" s="2" t="inlineStr"/>
      <c r="L71" s="2" t="inlineStr">
        <is>
          <t>Y</t>
        </is>
      </c>
    </row>
    <row r="72">
      <c r="A72" s="2" t="inlineStr">
        <is>
          <t>2025-03-17</t>
        </is>
      </c>
      <c r="B72" s="2" t="inlineStr">
        <is>
          <t>Income</t>
        </is>
      </c>
      <c r="C72" s="2" t="inlineStr">
        <is>
          <t>Retail Sales</t>
        </is>
      </c>
      <c r="D72" s="2" t="inlineStr">
        <is>
          <t>Online Customer</t>
        </is>
      </c>
      <c r="E72" s="2" t="inlineStr">
        <is>
          <t>Online Sale</t>
        </is>
      </c>
      <c r="F72" s="2" t="inlineStr">
        <is>
          <t>RET-2025-026</t>
        </is>
      </c>
      <c r="G72" s="3" t="n">
        <v>75.47</v>
      </c>
      <c r="H72" s="3" t="n">
        <v>0</v>
      </c>
      <c r="I72" s="3">
        <f>I71-H72+G72</f>
        <v/>
      </c>
      <c r="J72" s="2" t="inlineStr">
        <is>
          <t>N</t>
        </is>
      </c>
      <c r="K72" s="2" t="inlineStr"/>
      <c r="L72" s="2" t="inlineStr">
        <is>
          <t>Y</t>
        </is>
      </c>
    </row>
    <row r="73">
      <c r="A73" s="2" t="inlineStr">
        <is>
          <t>2025-03-19</t>
        </is>
      </c>
      <c r="B73" s="2" t="inlineStr">
        <is>
          <t>Expense</t>
        </is>
      </c>
      <c r="C73" s="2" t="inlineStr">
        <is>
          <t>Vehicle &amp; Fuel</t>
        </is>
      </c>
      <c r="D73" s="2" t="inlineStr">
        <is>
          <t>Shell Gas Station</t>
        </is>
      </c>
      <c r="E73" s="2" t="inlineStr">
        <is>
          <t>POS Purchase - Fuel</t>
        </is>
      </c>
      <c r="F73" s="2" t="inlineStr">
        <is>
          <t>POS</t>
        </is>
      </c>
      <c r="G73" s="3" t="n">
        <v>0</v>
      </c>
      <c r="H73" s="3" t="n">
        <v>51.3</v>
      </c>
      <c r="I73" s="3">
        <f>I72-H73+G73</f>
        <v/>
      </c>
      <c r="J73" s="2" t="inlineStr">
        <is>
          <t>Y</t>
        </is>
      </c>
      <c r="K73" s="2" t="inlineStr"/>
      <c r="L73" s="2" t="inlineStr">
        <is>
          <t>Y</t>
        </is>
      </c>
    </row>
    <row r="74">
      <c r="A74" s="2" t="inlineStr">
        <is>
          <t>2025-03-19</t>
        </is>
      </c>
      <c r="B74" s="2" t="inlineStr">
        <is>
          <t>Income</t>
        </is>
      </c>
      <c r="C74" s="2" t="inlineStr">
        <is>
          <t>Wholesale</t>
        </is>
      </c>
      <c r="D74" s="2" t="inlineStr">
        <is>
          <t>Sunrise Espresso Bar</t>
        </is>
      </c>
      <c r="E74" s="2" t="inlineStr">
        <is>
          <t>Deposit - Wholesale order</t>
        </is>
      </c>
      <c r="F74" s="2" t="inlineStr">
        <is>
          <t>INV-2025-012</t>
        </is>
      </c>
      <c r="G74" s="3" t="n">
        <v>427</v>
      </c>
      <c r="H74" s="3" t="n">
        <v>0</v>
      </c>
      <c r="I74" s="3">
        <f>I73-H74+G74</f>
        <v/>
      </c>
      <c r="J74" s="2" t="inlineStr">
        <is>
          <t>N</t>
        </is>
      </c>
      <c r="K74" s="2" t="inlineStr"/>
      <c r="L74" s="2" t="inlineStr">
        <is>
          <t>Y</t>
        </is>
      </c>
    </row>
    <row r="75">
      <c r="A75" s="2" t="inlineStr">
        <is>
          <t>2025-03-20</t>
        </is>
      </c>
      <c r="B75" s="2" t="inlineStr">
        <is>
          <t>Income</t>
        </is>
      </c>
      <c r="C75" s="2" t="inlineStr">
        <is>
          <t>Retail Sales</t>
        </is>
      </c>
      <c r="D75" s="2" t="inlineStr">
        <is>
          <t>Online Customer</t>
        </is>
      </c>
      <c r="E75" s="2" t="inlineStr">
        <is>
          <t>Online Sale</t>
        </is>
      </c>
      <c r="F75" s="2" t="inlineStr">
        <is>
          <t>RET-2025-027</t>
        </is>
      </c>
      <c r="G75" s="3" t="n">
        <v>47.74</v>
      </c>
      <c r="H75" s="3" t="n">
        <v>0</v>
      </c>
      <c r="I75" s="3">
        <f>I74-H75+G75</f>
        <v/>
      </c>
      <c r="J75" s="2" t="inlineStr">
        <is>
          <t>N</t>
        </is>
      </c>
      <c r="K75" s="2" t="inlineStr"/>
      <c r="L75" s="2" t="inlineStr">
        <is>
          <t>Y</t>
        </is>
      </c>
    </row>
    <row r="76">
      <c r="A76" s="2" t="inlineStr">
        <is>
          <t>2025-03-21</t>
        </is>
      </c>
      <c r="B76" s="2" t="inlineStr">
        <is>
          <t>Expense</t>
        </is>
      </c>
      <c r="C76" s="2" t="inlineStr">
        <is>
          <t>Equipment &amp; Maintenance</t>
        </is>
      </c>
      <c r="D76" s="2" t="inlineStr">
        <is>
          <t>Coffee Tech Services</t>
        </is>
      </c>
      <c r="E76" s="2" t="inlineStr">
        <is>
          <t>Check #1049 - Equipment service</t>
        </is>
      </c>
      <c r="F76" s="2" t="inlineStr">
        <is>
          <t>CHK-1049</t>
        </is>
      </c>
      <c r="G76" s="3" t="n">
        <v>0</v>
      </c>
      <c r="H76" s="3" t="n">
        <v>654.53</v>
      </c>
      <c r="I76" s="3">
        <f>I75-H76+G76</f>
        <v/>
      </c>
      <c r="J76" s="2" t="inlineStr">
        <is>
          <t>Y</t>
        </is>
      </c>
      <c r="K76" s="2" t="inlineStr">
        <is>
          <t>Need receipt - per notes.txt</t>
        </is>
      </c>
      <c r="L76" s="2" t="inlineStr">
        <is>
          <t>Y</t>
        </is>
      </c>
    </row>
    <row r="77">
      <c r="A77" s="2" t="inlineStr">
        <is>
          <t>2025-03-23</t>
        </is>
      </c>
      <c r="B77" s="2" t="inlineStr">
        <is>
          <t>Income</t>
        </is>
      </c>
      <c r="C77" s="2" t="inlineStr">
        <is>
          <t>Retail Sales</t>
        </is>
      </c>
      <c r="D77" s="2" t="inlineStr">
        <is>
          <t>Online Customer</t>
        </is>
      </c>
      <c r="E77" s="2" t="inlineStr">
        <is>
          <t>Online Sale</t>
        </is>
      </c>
      <c r="F77" s="2" t="inlineStr">
        <is>
          <t>RET-2025-028</t>
        </is>
      </c>
      <c r="G77" s="3" t="n">
        <v>73.34999999999999</v>
      </c>
      <c r="H77" s="3" t="n">
        <v>0</v>
      </c>
      <c r="I77" s="3">
        <f>I76-H77+G77</f>
        <v/>
      </c>
      <c r="J77" s="2" t="inlineStr">
        <is>
          <t>N</t>
        </is>
      </c>
      <c r="K77" s="2" t="inlineStr"/>
      <c r="L77" s="2" t="inlineStr">
        <is>
          <t>Y</t>
        </is>
      </c>
    </row>
    <row r="78">
      <c r="A78" s="2" t="inlineStr">
        <is>
          <t>2025-03-24</t>
        </is>
      </c>
      <c r="B78" s="2" t="inlineStr">
        <is>
          <t>Expense</t>
        </is>
      </c>
      <c r="C78" s="2" t="inlineStr">
        <is>
          <t>Shipping &amp; Delivery</t>
        </is>
      </c>
      <c r="D78" s="2" t="inlineStr">
        <is>
          <t>UPS Store</t>
        </is>
      </c>
      <c r="E78" s="2" t="inlineStr">
        <is>
          <t>POS Purchase - Shipping</t>
        </is>
      </c>
      <c r="F78" s="2" t="inlineStr">
        <is>
          <t>POS</t>
        </is>
      </c>
      <c r="G78" s="3" t="n">
        <v>0</v>
      </c>
      <c r="H78" s="3" t="n">
        <v>94.38</v>
      </c>
      <c r="I78" s="3">
        <f>I77-H78+G78</f>
        <v/>
      </c>
      <c r="J78" s="2" t="inlineStr">
        <is>
          <t>Y</t>
        </is>
      </c>
      <c r="K78" s="2" t="inlineStr"/>
      <c r="L78" s="2" t="inlineStr">
        <is>
          <t>Y</t>
        </is>
      </c>
    </row>
    <row r="79">
      <c r="A79" s="2" t="inlineStr">
        <is>
          <t>2025-03-26</t>
        </is>
      </c>
      <c r="B79" s="2" t="inlineStr">
        <is>
          <t>Expense</t>
        </is>
      </c>
      <c r="C79" s="2" t="inlineStr">
        <is>
          <t>Vehicle &amp; Fuel</t>
        </is>
      </c>
      <c r="D79" s="2" t="inlineStr">
        <is>
          <t>Shell Gas Station</t>
        </is>
      </c>
      <c r="E79" s="2" t="inlineStr">
        <is>
          <t>POS Purchase - Fuel</t>
        </is>
      </c>
      <c r="F79" s="2" t="inlineStr">
        <is>
          <t>POS</t>
        </is>
      </c>
      <c r="G79" s="3" t="n">
        <v>0</v>
      </c>
      <c r="H79" s="3" t="n">
        <v>55.94</v>
      </c>
      <c r="I79" s="3">
        <f>I78-H79+G79</f>
        <v/>
      </c>
      <c r="J79" s="2" t="inlineStr">
        <is>
          <t>Y</t>
        </is>
      </c>
      <c r="K79" s="2" t="inlineStr"/>
      <c r="L79" s="2" t="inlineStr">
        <is>
          <t>Y</t>
        </is>
      </c>
    </row>
    <row r="80">
      <c r="A80" s="2" t="inlineStr">
        <is>
          <t>2025-03-26</t>
        </is>
      </c>
      <c r="B80" s="2" t="inlineStr">
        <is>
          <t>Income</t>
        </is>
      </c>
      <c r="C80" s="2" t="inlineStr">
        <is>
          <t>Retail Sales</t>
        </is>
      </c>
      <c r="D80" s="2" t="inlineStr">
        <is>
          <t>Online Customer</t>
        </is>
      </c>
      <c r="E80" s="2" t="inlineStr">
        <is>
          <t>Online Sale</t>
        </is>
      </c>
      <c r="F80" s="2" t="inlineStr">
        <is>
          <t>RET-2025-029</t>
        </is>
      </c>
      <c r="G80" s="3" t="n">
        <v>37.53</v>
      </c>
      <c r="H80" s="3" t="n">
        <v>0</v>
      </c>
      <c r="I80" s="3">
        <f>I79-H80+G80</f>
        <v/>
      </c>
      <c r="J80" s="2" t="inlineStr">
        <is>
          <t>N</t>
        </is>
      </c>
      <c r="K80" s="2" t="inlineStr"/>
      <c r="L80" s="2" t="inlineStr">
        <is>
          <t>Y</t>
        </is>
      </c>
    </row>
    <row r="81">
      <c r="A81" s="2" t="inlineStr">
        <is>
          <t>2025-03-28</t>
        </is>
      </c>
      <c r="B81" s="2" t="inlineStr">
        <is>
          <t>Expense</t>
        </is>
      </c>
      <c r="C81" s="2" t="inlineStr">
        <is>
          <t>Packaging &amp; Supplies</t>
        </is>
      </c>
      <c r="D81" s="2" t="inlineStr">
        <is>
          <t>PackagingPro Supply</t>
        </is>
      </c>
      <c r="E81" s="2" t="inlineStr">
        <is>
          <t>POS Purchase - Packaging</t>
        </is>
      </c>
      <c r="F81" s="2" t="inlineStr">
        <is>
          <t>POS</t>
        </is>
      </c>
      <c r="G81" s="3" t="n">
        <v>0</v>
      </c>
      <c r="H81" s="3" t="n">
        <v>191</v>
      </c>
      <c r="I81" s="3">
        <f>I80-H81+G81</f>
        <v/>
      </c>
      <c r="J81" s="2" t="inlineStr">
        <is>
          <t>Y</t>
        </is>
      </c>
      <c r="K81" s="2" t="inlineStr"/>
      <c r="L81" s="2" t="inlineStr">
        <is>
          <t>Y</t>
        </is>
      </c>
    </row>
    <row r="82">
      <c r="A82" s="2" t="inlineStr">
        <is>
          <t>2025-03-28</t>
        </is>
      </c>
      <c r="B82" s="2" t="inlineStr">
        <is>
          <t>Income</t>
        </is>
      </c>
      <c r="C82" s="2" t="inlineStr">
        <is>
          <t>Retail Sales</t>
        </is>
      </c>
      <c r="D82" s="2" t="inlineStr">
        <is>
          <t>Online Customer</t>
        </is>
      </c>
      <c r="E82" s="2" t="inlineStr">
        <is>
          <t>Online Sale</t>
        </is>
      </c>
      <c r="F82" s="2" t="inlineStr">
        <is>
          <t>RET-2025-030</t>
        </is>
      </c>
      <c r="G82" s="3" t="n">
        <v>53.64</v>
      </c>
      <c r="H82" s="3" t="n">
        <v>0</v>
      </c>
      <c r="I82" s="3">
        <f>I81-H82+G82</f>
        <v/>
      </c>
      <c r="J82" s="2" t="inlineStr">
        <is>
          <t>N</t>
        </is>
      </c>
      <c r="K82" s="2" t="inlineStr"/>
      <c r="L82" s="2" t="inlineStr">
        <is>
          <t>Y</t>
        </is>
      </c>
    </row>
  </sheetData>
  <autoFilter ref="A1:L8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Month</t>
        </is>
      </c>
      <c r="B1" s="1" t="inlineStr">
        <is>
          <t>Opening Balance</t>
        </is>
      </c>
      <c r="C1" s="1" t="inlineStr">
        <is>
          <t>Total Income</t>
        </is>
      </c>
      <c r="D1" s="1" t="inlineStr">
        <is>
          <t>Total Expenses</t>
        </is>
      </c>
      <c r="E1" s="1" t="inlineStr">
        <is>
          <t>Net Change</t>
        </is>
      </c>
      <c r="F1" s="1" t="inlineStr">
        <is>
          <t>Closing Balance</t>
        </is>
      </c>
    </row>
    <row r="2">
      <c r="A2" s="2" t="inlineStr">
        <is>
          <t>January 2025</t>
        </is>
      </c>
      <c r="B2" s="3" t="n">
        <v>15420</v>
      </c>
      <c r="C2" s="3" t="n">
        <v>1250.77</v>
      </c>
      <c r="D2" s="3" t="n">
        <v>4710.68</v>
      </c>
      <c r="E2" s="3">
        <f>C2-D2</f>
        <v/>
      </c>
      <c r="F2" s="3">
        <f>B2+E2</f>
        <v/>
      </c>
    </row>
    <row r="3">
      <c r="A3" s="2" t="inlineStr">
        <is>
          <t>February 2025</t>
        </is>
      </c>
      <c r="B3" s="3" t="n">
        <v>13940.09</v>
      </c>
      <c r="C3" s="3" t="n">
        <v>3145.73</v>
      </c>
      <c r="D3" s="3" t="n">
        <v>4834.12</v>
      </c>
      <c r="E3" s="3">
        <f>C3-D3</f>
        <v/>
      </c>
      <c r="F3" s="3">
        <f>B3+E3</f>
        <v/>
      </c>
    </row>
    <row r="4">
      <c r="A4" s="2" t="inlineStr">
        <is>
          <t>March 2025</t>
        </is>
      </c>
      <c r="B4" s="3" t="n">
        <v>14220.68</v>
      </c>
      <c r="C4" s="3" t="n">
        <v>2872.52</v>
      </c>
      <c r="D4" s="3" t="n">
        <v>6246.23</v>
      </c>
      <c r="E4" s="3">
        <f>C4-D4</f>
        <v/>
      </c>
      <c r="F4" s="3">
        <f>B4+E4</f>
        <v/>
      </c>
    </row>
    <row r="6">
      <c r="A6" s="4" t="inlineStr">
        <is>
          <t>Q1 2025 TOTAL</t>
        </is>
      </c>
      <c r="B6" s="4" t="inlineStr"/>
      <c r="C6" s="5">
        <f>SUM(C2:C4)</f>
        <v/>
      </c>
      <c r="D6" s="5">
        <f>SUM(D2:D4)</f>
        <v/>
      </c>
      <c r="E6" s="5">
        <f>SUM(E2:E4)</f>
        <v/>
      </c>
      <c r="F6" s="4" t="inlineStr"/>
    </row>
    <row r="9">
      <c r="A9" s="6" t="inlineStr">
        <is>
          <t>BANK RECONCILIATION NOTES</t>
        </is>
      </c>
      <c r="B9" s="6" t="inlineStr"/>
      <c r="C9" s="6" t="inlineStr"/>
      <c r="D9" s="6" t="inlineStr"/>
      <c r="E9" s="6" t="inlineStr"/>
      <c r="F9" s="6" t="inlineStr"/>
    </row>
    <row r="10">
      <c r="A10" s="2" t="inlineStr">
        <is>
          <t>Jan ending ($11,960.09) != Feb opening ($13,940.09). Difference: $1,980.00</t>
        </is>
      </c>
      <c r="B10" s="2" t="inlineStr"/>
      <c r="C10" s="2" t="inlineStr"/>
      <c r="D10" s="2" t="inlineStr"/>
      <c r="E10" s="2" t="inlineStr"/>
      <c r="F10" s="2" t="inlineStr"/>
    </row>
    <row r="11">
      <c r="A11" s="2" t="inlineStr">
        <is>
          <t>Feb ending ($12,251.70) != Mar opening ($14,220.68). Difference: $1,968.98</t>
        </is>
      </c>
      <c r="B11" s="2" t="inlineStr"/>
      <c r="C11" s="2" t="inlineStr"/>
      <c r="D11" s="2" t="inlineStr"/>
      <c r="E11" s="2" t="inlineStr"/>
      <c r="F11" s="2" t="inlineStr"/>
    </row>
    <row r="12">
      <c r="A12" s="2" t="inlineStr">
        <is>
          <t>Possible cause: Rent payments or other auto-debits not on these statements</t>
        </is>
      </c>
      <c r="B12" s="2" t="inlineStr"/>
      <c r="C12" s="2" t="inlineStr"/>
      <c r="D12" s="2" t="inlineStr"/>
      <c r="E12" s="2" t="inlineStr"/>
      <c r="F12" s="2" t="inlineStr"/>
    </row>
    <row r="13">
      <c r="A13" s="2" t="inlineStr">
        <is>
          <t>No rent, insurance, or bank fee transactions visible in Q1 statements</t>
        </is>
      </c>
      <c r="B13" s="2" t="inlineStr"/>
      <c r="C13" s="2" t="inlineStr"/>
      <c r="D13" s="2" t="inlineStr"/>
      <c r="E13" s="2" t="inlineStr"/>
      <c r="F13" s="2" t="inlineStr"/>
    </row>
  </sheetData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6" customWidth="1" min="2" max="2"/>
    <col width="16" customWidth="1" min="3" max="3"/>
    <col width="16" customWidth="1" min="4" max="4"/>
    <col width="16" customWidth="1" min="5" max="5"/>
    <col width="22" customWidth="1" min="6" max="6"/>
  </cols>
  <sheetData>
    <row r="1">
      <c r="A1" s="1" t="inlineStr">
        <is>
          <t>Category</t>
        </is>
      </c>
      <c r="B1" s="1" t="inlineStr">
        <is>
          <t>January</t>
        </is>
      </c>
      <c r="C1" s="1" t="inlineStr">
        <is>
          <t>February</t>
        </is>
      </c>
      <c r="D1" s="1" t="inlineStr">
        <is>
          <t>March</t>
        </is>
      </c>
      <c r="E1" s="1" t="inlineStr">
        <is>
          <t>Q1 Total</t>
        </is>
      </c>
      <c r="F1" s="1" t="inlineStr">
        <is>
          <t>Tax Deductible</t>
        </is>
      </c>
    </row>
    <row r="2">
      <c r="A2" s="2" t="inlineStr">
        <is>
          <t>Cost of Goods Sold</t>
        </is>
      </c>
      <c r="B2" s="3" t="n">
        <v>3245</v>
      </c>
      <c r="C2" s="3" t="n">
        <v>3460</v>
      </c>
      <c r="D2" s="3" t="n">
        <v>4050</v>
      </c>
      <c r="E2" s="3">
        <f>SUM(B2:D2)</f>
        <v/>
      </c>
      <c r="F2" s="2" t="inlineStr">
        <is>
          <t>Yes</t>
        </is>
      </c>
    </row>
    <row r="3">
      <c r="A3" s="2" t="inlineStr">
        <is>
          <t>Equipment &amp; Maintenance</t>
        </is>
      </c>
      <c r="B3" s="3" t="n">
        <v>386.28</v>
      </c>
      <c r="C3" s="3" t="n">
        <v>0</v>
      </c>
      <c r="D3" s="3" t="n">
        <v>654.53</v>
      </c>
      <c r="E3" s="3">
        <f>SUM(B3:D3)</f>
        <v/>
      </c>
      <c r="F3" s="2" t="inlineStr">
        <is>
          <t>Yes</t>
        </is>
      </c>
    </row>
    <row r="4">
      <c r="A4" s="2" t="inlineStr">
        <is>
          <t>Internet &amp; Phone</t>
        </is>
      </c>
      <c r="B4" s="3" t="n">
        <v>128.99</v>
      </c>
      <c r="C4" s="3" t="n">
        <v>128.99</v>
      </c>
      <c r="D4" s="3" t="n">
        <v>128.99</v>
      </c>
      <c r="E4" s="3">
        <f>SUM(B4:D4)</f>
        <v/>
      </c>
      <c r="F4" s="2" t="inlineStr">
        <is>
          <t>Yes</t>
        </is>
      </c>
    </row>
    <row r="5">
      <c r="A5" s="2" t="inlineStr">
        <is>
          <t>Office Supplies</t>
        </is>
      </c>
      <c r="B5" s="3" t="n">
        <v>109.42</v>
      </c>
      <c r="C5" s="3" t="n">
        <v>53.61</v>
      </c>
      <c r="D5" s="3" t="n">
        <v>86.88</v>
      </c>
      <c r="E5" s="3">
        <f>SUM(B5:D5)</f>
        <v/>
      </c>
      <c r="F5" s="2" t="inlineStr">
        <is>
          <t>Yes</t>
        </is>
      </c>
    </row>
    <row r="6">
      <c r="A6" s="2" t="inlineStr">
        <is>
          <t>Packaging &amp; Supplies</t>
        </is>
      </c>
      <c r="B6" s="3" t="n">
        <v>284.34</v>
      </c>
      <c r="C6" s="3" t="n">
        <v>531.14</v>
      </c>
      <c r="D6" s="3" t="n">
        <v>711.41</v>
      </c>
      <c r="E6" s="3">
        <f>SUM(B6:D6)</f>
        <v/>
      </c>
      <c r="F6" s="2" t="inlineStr">
        <is>
          <t>Yes</t>
        </is>
      </c>
    </row>
    <row r="7">
      <c r="A7" s="2" t="inlineStr">
        <is>
          <t>Shipping &amp; Delivery</t>
        </is>
      </c>
      <c r="B7" s="3" t="n">
        <v>165.22</v>
      </c>
      <c r="C7" s="3" t="n">
        <v>246.24</v>
      </c>
      <c r="D7" s="3" t="n">
        <v>212.41</v>
      </c>
      <c r="E7" s="3">
        <f>SUM(B7:D7)</f>
        <v/>
      </c>
      <c r="F7" s="2" t="inlineStr">
        <is>
          <t>Yes</t>
        </is>
      </c>
    </row>
    <row r="8">
      <c r="A8" s="2" t="inlineStr">
        <is>
          <t>Utilities</t>
        </is>
      </c>
      <c r="B8" s="3" t="n">
        <v>198.45</v>
      </c>
      <c r="C8" s="3" t="n">
        <v>215.78</v>
      </c>
      <c r="D8" s="3" t="n">
        <v>187.23</v>
      </c>
      <c r="E8" s="3">
        <f>SUM(B8:D8)</f>
        <v/>
      </c>
      <c r="F8" s="2" t="inlineStr">
        <is>
          <t>Yes</t>
        </is>
      </c>
    </row>
    <row r="9">
      <c r="A9" s="2" t="inlineStr">
        <is>
          <t>Vehicle &amp; Fuel</t>
        </is>
      </c>
      <c r="B9" s="3" t="n">
        <v>192.98</v>
      </c>
      <c r="C9" s="3" t="n">
        <v>248.36</v>
      </c>
      <c r="D9" s="3" t="n">
        <v>214.78</v>
      </c>
      <c r="E9" s="3">
        <f>SUM(B9:D9)</f>
        <v/>
      </c>
      <c r="F9" s="2" t="inlineStr">
        <is>
          <t>Partial</t>
        </is>
      </c>
    </row>
    <row r="11">
      <c r="A11" s="4" t="inlineStr">
        <is>
          <t>TOTAL EXPENSES</t>
        </is>
      </c>
      <c r="B11" s="5">
        <f>SUM(B2:B9)</f>
        <v/>
      </c>
      <c r="C11" s="5">
        <f>SUM(C2:C9)</f>
        <v/>
      </c>
      <c r="D11" s="5">
        <f>SUM(D2:D9)</f>
        <v/>
      </c>
      <c r="E11" s="5">
        <f>SUM(E2:E9)</f>
        <v/>
      </c>
      <c r="F11" s="4" t="inlineStr"/>
    </row>
  </sheetData>
  <conditionalFormatting sqref="E2:E9">
    <cfRule type="colorScale" priority="1">
      <colorScale>
        <cfvo type="min"/>
        <cfvo type="max"/>
        <color rgb="0063BE7B"/>
        <color rgb="00F8696B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28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s="7" t="inlineStr">
        <is>
          <t>PROFIT &amp; LOSS STATEMENT</t>
        </is>
      </c>
    </row>
    <row r="2">
      <c r="A2" s="8" t="inlineStr">
        <is>
          <t>Mountain Pine Coffee Roasters LLC</t>
        </is>
      </c>
    </row>
    <row r="3">
      <c r="A3" s="8" t="inlineStr">
        <is>
          <t>Q1 2025 (January - March)</t>
        </is>
      </c>
    </row>
    <row r="5">
      <c r="A5" s="1" t="inlineStr"/>
      <c r="B5" s="1" t="inlineStr">
        <is>
          <t>January</t>
        </is>
      </c>
      <c r="C5" s="1" t="inlineStr">
        <is>
          <t>February</t>
        </is>
      </c>
      <c r="D5" s="1" t="inlineStr">
        <is>
          <t>March</t>
        </is>
      </c>
      <c r="E5" s="1" t="inlineStr">
        <is>
          <t>Q1 Total</t>
        </is>
      </c>
    </row>
    <row r="6">
      <c r="A6" s="6" t="inlineStr">
        <is>
          <t>INCOME</t>
        </is>
      </c>
      <c r="B6" s="6" t="inlineStr"/>
      <c r="C6" s="6" t="inlineStr"/>
      <c r="D6" s="6" t="inlineStr"/>
      <c r="E6" s="6" t="inlineStr"/>
    </row>
    <row r="7">
      <c r="A7" s="2" t="inlineStr">
        <is>
          <t>Retail Sales</t>
        </is>
      </c>
      <c r="B7" s="3" t="n">
        <v>560.77</v>
      </c>
      <c r="C7" s="3" t="n">
        <v>652.85</v>
      </c>
      <c r="D7" s="3" t="n">
        <v>557.52</v>
      </c>
      <c r="E7" s="3">
        <f>SUM(B7:D7)</f>
        <v/>
      </c>
    </row>
    <row r="8">
      <c r="A8" s="2" t="inlineStr">
        <is>
          <t>Wholesale</t>
        </is>
      </c>
      <c r="B8" s="3" t="n">
        <v>690</v>
      </c>
      <c r="C8" s="3" t="n">
        <v>2592.88</v>
      </c>
      <c r="D8" s="3" t="n">
        <v>2315</v>
      </c>
      <c r="E8" s="3">
        <f>SUM(B8:D8)</f>
        <v/>
      </c>
    </row>
    <row r="9">
      <c r="A9" s="4" t="inlineStr">
        <is>
          <t>Total Income</t>
        </is>
      </c>
      <c r="B9" s="5">
        <f>SUM(B7:B8)</f>
        <v/>
      </c>
      <c r="C9" s="5">
        <f>SUM(C7:C8)</f>
        <v/>
      </c>
      <c r="D9" s="5">
        <f>SUM(D7:D8)</f>
        <v/>
      </c>
      <c r="E9" s="5">
        <f>SUM(E7:E8)</f>
        <v/>
      </c>
    </row>
    <row r="11">
      <c r="A11" s="6" t="inlineStr">
        <is>
          <t>EXPENSES</t>
        </is>
      </c>
      <c r="B11" s="6" t="inlineStr"/>
      <c r="C11" s="6" t="inlineStr"/>
      <c r="D11" s="6" t="inlineStr"/>
      <c r="E11" s="6" t="inlineStr"/>
    </row>
    <row r="12">
      <c r="A12" s="2" t="inlineStr">
        <is>
          <t>Cost of Goods Sold</t>
        </is>
      </c>
      <c r="B12" s="3" t="n">
        <v>3245</v>
      </c>
      <c r="C12" s="3" t="n">
        <v>3460</v>
      </c>
      <c r="D12" s="3" t="n">
        <v>4050</v>
      </c>
      <c r="E12" s="3">
        <f>SUM(B12:D12)</f>
        <v/>
      </c>
    </row>
    <row r="13">
      <c r="A13" s="2" t="inlineStr">
        <is>
          <t>Equipment &amp; Maintenance</t>
        </is>
      </c>
      <c r="B13" s="3" t="n">
        <v>386.28</v>
      </c>
      <c r="C13" s="3" t="n">
        <v>0</v>
      </c>
      <c r="D13" s="3" t="n">
        <v>654.53</v>
      </c>
      <c r="E13" s="3">
        <f>SUM(B13:D13)</f>
        <v/>
      </c>
    </row>
    <row r="14">
      <c r="A14" s="2" t="inlineStr">
        <is>
          <t>Internet &amp; Phone</t>
        </is>
      </c>
      <c r="B14" s="3" t="n">
        <v>128.99</v>
      </c>
      <c r="C14" s="3" t="n">
        <v>128.99</v>
      </c>
      <c r="D14" s="3" t="n">
        <v>128.99</v>
      </c>
      <c r="E14" s="3">
        <f>SUM(B14:D14)</f>
        <v/>
      </c>
    </row>
    <row r="15">
      <c r="A15" s="2" t="inlineStr">
        <is>
          <t>Office Supplies</t>
        </is>
      </c>
      <c r="B15" s="3" t="n">
        <v>109.42</v>
      </c>
      <c r="C15" s="3" t="n">
        <v>53.61</v>
      </c>
      <c r="D15" s="3" t="n">
        <v>86.88</v>
      </c>
      <c r="E15" s="3">
        <f>SUM(B15:D15)</f>
        <v/>
      </c>
    </row>
    <row r="16">
      <c r="A16" s="2" t="inlineStr">
        <is>
          <t>Packaging &amp; Supplies</t>
        </is>
      </c>
      <c r="B16" s="3" t="n">
        <v>284.34</v>
      </c>
      <c r="C16" s="3" t="n">
        <v>531.14</v>
      </c>
      <c r="D16" s="3" t="n">
        <v>711.41</v>
      </c>
      <c r="E16" s="3">
        <f>SUM(B16:D16)</f>
        <v/>
      </c>
    </row>
    <row r="17">
      <c r="A17" s="2" t="inlineStr">
        <is>
          <t>Shipping &amp; Delivery</t>
        </is>
      </c>
      <c r="B17" s="3" t="n">
        <v>165.22</v>
      </c>
      <c r="C17" s="3" t="n">
        <v>246.24</v>
      </c>
      <c r="D17" s="3" t="n">
        <v>212.41</v>
      </c>
      <c r="E17" s="3">
        <f>SUM(B17:D17)</f>
        <v/>
      </c>
    </row>
    <row r="18">
      <c r="A18" s="2" t="inlineStr">
        <is>
          <t>Utilities</t>
        </is>
      </c>
      <c r="B18" s="3" t="n">
        <v>198.45</v>
      </c>
      <c r="C18" s="3" t="n">
        <v>215.78</v>
      </c>
      <c r="D18" s="3" t="n">
        <v>187.23</v>
      </c>
      <c r="E18" s="3">
        <f>SUM(B18:D18)</f>
        <v/>
      </c>
    </row>
    <row r="19">
      <c r="A19" s="2" t="inlineStr">
        <is>
          <t>Vehicle &amp; Fuel</t>
        </is>
      </c>
      <c r="B19" s="3" t="n">
        <v>192.98</v>
      </c>
      <c r="C19" s="3" t="n">
        <v>248.36</v>
      </c>
      <c r="D19" s="3" t="n">
        <v>214.78</v>
      </c>
      <c r="E19" s="3">
        <f>SUM(B19:D19)</f>
        <v/>
      </c>
    </row>
    <row r="20">
      <c r="A20" s="4" t="inlineStr">
        <is>
          <t>Total Expenses</t>
        </is>
      </c>
      <c r="B20" s="5">
        <f>SUM(B12:B19)</f>
        <v/>
      </c>
      <c r="C20" s="5">
        <f>SUM(C12:C19)</f>
        <v/>
      </c>
      <c r="D20" s="5">
        <f>SUM(D12:D19)</f>
        <v/>
      </c>
      <c r="E20" s="5">
        <f>SUM(E12:E19)</f>
        <v/>
      </c>
    </row>
    <row r="22">
      <c r="A22" s="4" t="inlineStr">
        <is>
          <t>NET PROFIT/(LOSS)</t>
        </is>
      </c>
      <c r="B22" s="5">
        <f>B9-B20</f>
        <v/>
      </c>
      <c r="C22" s="5">
        <f>C9-C20</f>
        <v/>
      </c>
      <c r="D22" s="5">
        <f>D9-D20</f>
        <v/>
      </c>
      <c r="E22" s="5">
        <f>E9-E20</f>
        <v/>
      </c>
    </row>
  </sheetData>
  <mergeCells count="3">
    <mergeCell ref="A2:E2"/>
    <mergeCell ref="A1:E1"/>
    <mergeCell ref="A3:E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25" customWidth="1" min="3" max="3"/>
    <col width="16" customWidth="1" min="4" max="4"/>
    <col width="16" customWidth="1" min="5" max="5"/>
    <col width="30" customWidth="1" min="6" max="6"/>
  </cols>
  <sheetData>
    <row r="1">
      <c r="A1" s="1" t="inlineStr">
        <is>
          <t>Invoice #</t>
        </is>
      </c>
      <c r="B1" s="1" t="inlineStr">
        <is>
          <t>Date</t>
        </is>
      </c>
      <c r="C1" s="1" t="inlineStr">
        <is>
          <t>Customer</t>
        </is>
      </c>
      <c r="D1" s="1" t="inlineStr">
        <is>
          <t>Amount</t>
        </is>
      </c>
      <c r="E1" s="1" t="inlineStr">
        <is>
          <t>Status</t>
        </is>
      </c>
      <c r="F1" s="1" t="inlineStr">
        <is>
          <t>Notes</t>
        </is>
      </c>
    </row>
    <row r="2">
      <c r="A2" s="2" t="inlineStr">
        <is>
          <t>INV-2025-001</t>
        </is>
      </c>
      <c r="B2" s="2" t="inlineStr">
        <is>
          <t>2025-01-06</t>
        </is>
      </c>
      <c r="C2" s="2" t="inlineStr">
        <is>
          <t>The Daily Grind Cafe</t>
        </is>
      </c>
      <c r="D2" s="3" t="n">
        <v>386</v>
      </c>
      <c r="E2" s="2" t="inlineStr">
        <is>
          <t>Paid</t>
        </is>
      </c>
      <c r="F2" s="2" t="inlineStr">
        <is>
          <t>Matched to bank deposit 01/18</t>
        </is>
      </c>
    </row>
    <row r="3">
      <c r="A3" s="2" t="inlineStr">
        <is>
          <t>INV-2025-002</t>
        </is>
      </c>
      <c r="B3" s="2" t="inlineStr">
        <is>
          <t>2025-01-08</t>
        </is>
      </c>
      <c r="C3" s="2" t="inlineStr">
        <is>
          <t>Sunrise Espresso Bar</t>
        </is>
      </c>
      <c r="D3" s="3" t="n">
        <v>304</v>
      </c>
      <c r="E3" s="2" t="inlineStr">
        <is>
          <t>Paid</t>
        </is>
      </c>
      <c r="F3" s="2" t="inlineStr">
        <is>
          <t>Matched to bank deposit 01/22</t>
        </is>
      </c>
    </row>
    <row r="4">
      <c r="A4" s="2" t="inlineStr">
        <is>
          <t>INV-2025-003</t>
        </is>
      </c>
      <c r="B4" s="2" t="inlineStr">
        <is>
          <t>2025-01-15</t>
        </is>
      </c>
      <c r="C4" s="2" t="inlineStr">
        <is>
          <t>Mountain View Bistro</t>
        </is>
      </c>
      <c r="D4" s="3" t="n">
        <v>790.88</v>
      </c>
      <c r="E4" s="2" t="inlineStr">
        <is>
          <t>Paid</t>
        </is>
      </c>
      <c r="F4" s="2" t="inlineStr">
        <is>
          <t>Matched to bank ACH 02/10</t>
        </is>
      </c>
    </row>
    <row r="5">
      <c r="A5" s="2" t="inlineStr">
        <is>
          <t>INV-2025-004</t>
        </is>
      </c>
      <c r="B5" s="2" t="inlineStr">
        <is>
          <t>2025-01-20</t>
        </is>
      </c>
      <c r="C5" s="2" t="inlineStr">
        <is>
          <t>The Daily Grind Cafe</t>
        </is>
      </c>
      <c r="D5" s="3" t="n">
        <v>482</v>
      </c>
      <c r="E5" s="2" t="inlineStr">
        <is>
          <t>Paid</t>
        </is>
      </c>
      <c r="F5" s="2" t="inlineStr">
        <is>
          <t>Matched to bank deposit 02/03</t>
        </is>
      </c>
    </row>
    <row r="6">
      <c r="A6" s="2" t="inlineStr">
        <is>
          <t>INV-2025-005</t>
        </is>
      </c>
      <c r="B6" s="2" t="inlineStr">
        <is>
          <t>2025-01-22</t>
        </is>
      </c>
      <c r="C6" s="2" t="inlineStr">
        <is>
          <t>Sunrise Espresso Bar</t>
        </is>
      </c>
      <c r="D6" s="3" t="n">
        <v>410</v>
      </c>
      <c r="E6" s="2" t="inlineStr">
        <is>
          <t>Paid</t>
        </is>
      </c>
      <c r="F6" s="2" t="inlineStr">
        <is>
          <t>Matched to bank deposit 02/05</t>
        </is>
      </c>
    </row>
    <row r="7">
      <c r="A7" s="2" t="inlineStr">
        <is>
          <t>INV-2025-006</t>
        </is>
      </c>
      <c r="B7" s="2" t="inlineStr">
        <is>
          <t>2025-02-03</t>
        </is>
      </c>
      <c r="C7" s="2" t="inlineStr">
        <is>
          <t>The Daily Grind Cafe</t>
        </is>
      </c>
      <c r="D7" s="3" t="n">
        <v>548</v>
      </c>
      <c r="E7" s="2" t="inlineStr">
        <is>
          <t>Paid</t>
        </is>
      </c>
      <c r="F7" s="2" t="inlineStr">
        <is>
          <t>Matched to bank deposit 02/17</t>
        </is>
      </c>
    </row>
    <row r="8">
      <c r="A8" s="2" t="inlineStr">
        <is>
          <t>INV-2025-007</t>
        </is>
      </c>
      <c r="B8" s="2" t="inlineStr">
        <is>
          <t>2025-02-05</t>
        </is>
      </c>
      <c r="C8" s="2" t="inlineStr">
        <is>
          <t>Sunrise Espresso Bar</t>
        </is>
      </c>
      <c r="D8" s="3" t="n">
        <v>362</v>
      </c>
      <c r="E8" s="2" t="inlineStr">
        <is>
          <t>Paid</t>
        </is>
      </c>
      <c r="F8" s="2" t="inlineStr">
        <is>
          <t>Matched to bank deposit 02/19</t>
        </is>
      </c>
    </row>
    <row r="9">
      <c r="A9" s="2" t="inlineStr">
        <is>
          <t>INV-2025-008</t>
        </is>
      </c>
      <c r="B9" s="2" t="inlineStr">
        <is>
          <t>2025-02-12</t>
        </is>
      </c>
      <c r="C9" s="2" t="inlineStr">
        <is>
          <t>Mountain View Bistro</t>
        </is>
      </c>
      <c r="D9" s="3" t="n">
        <v>938</v>
      </c>
      <c r="E9" s="2" t="inlineStr">
        <is>
          <t>Paid</t>
        </is>
      </c>
      <c r="F9" s="2" t="inlineStr">
        <is>
          <t>Matched to bank ACH 03/12</t>
        </is>
      </c>
    </row>
    <row r="10">
      <c r="A10" s="2" t="inlineStr">
        <is>
          <t>INV-2025-009</t>
        </is>
      </c>
      <c r="B10" s="2" t="inlineStr">
        <is>
          <t>2025-02-17</t>
        </is>
      </c>
      <c r="C10" s="2" t="inlineStr">
        <is>
          <t>The Daily Grind Cafe</t>
        </is>
      </c>
      <c r="D10" s="3" t="n">
        <v>466</v>
      </c>
      <c r="E10" s="2" t="inlineStr">
        <is>
          <t>Paid</t>
        </is>
      </c>
      <c r="F10" s="2" t="inlineStr">
        <is>
          <t>Matched to bank deposit 03/03</t>
        </is>
      </c>
    </row>
    <row r="11">
      <c r="A11" s="2" t="inlineStr">
        <is>
          <t>INV-2025-010</t>
        </is>
      </c>
      <c r="B11" s="2" t="inlineStr">
        <is>
          <t>2025-02-19</t>
        </is>
      </c>
      <c r="C11" s="2" t="inlineStr">
        <is>
          <t>Sunrise Espresso Bar</t>
        </is>
      </c>
      <c r="D11" s="3" t="n">
        <v>484</v>
      </c>
      <c r="E11" s="2" t="inlineStr">
        <is>
          <t>Paid</t>
        </is>
      </c>
      <c r="F11" s="2" t="inlineStr">
        <is>
          <t>Matched to bank deposit 03/05</t>
        </is>
      </c>
    </row>
    <row r="12">
      <c r="A12" s="2" t="inlineStr">
        <is>
          <t>INV-2025-011</t>
        </is>
      </c>
      <c r="B12" s="2" t="inlineStr">
        <is>
          <t>2025-03-03</t>
        </is>
      </c>
      <c r="C12" s="2" t="inlineStr">
        <is>
          <t>The Daily Grind Cafe</t>
        </is>
      </c>
      <c r="D12" s="3" t="n">
        <v>610</v>
      </c>
      <c r="E12" s="9" t="inlineStr">
        <is>
          <t>PENDING</t>
        </is>
      </c>
      <c r="F12" s="2" t="inlineStr">
        <is>
          <t>Not yet deposited</t>
        </is>
      </c>
    </row>
    <row r="13">
      <c r="A13" s="2" t="inlineStr">
        <is>
          <t>INV-2025-012</t>
        </is>
      </c>
      <c r="B13" s="2" t="inlineStr">
        <is>
          <t>2025-03-05</t>
        </is>
      </c>
      <c r="C13" s="2" t="inlineStr">
        <is>
          <t>Sunrise Espresso Bar</t>
        </is>
      </c>
      <c r="D13" s="3" t="n">
        <v>427</v>
      </c>
      <c r="E13" s="2" t="inlineStr">
        <is>
          <t>Paid</t>
        </is>
      </c>
      <c r="F13" s="2" t="inlineStr">
        <is>
          <t>Matched to bank deposit 03/19</t>
        </is>
      </c>
    </row>
    <row r="14">
      <c r="A14" s="2" t="inlineStr">
        <is>
          <t>INV-2025-013</t>
        </is>
      </c>
      <c r="B14" s="2" t="inlineStr">
        <is>
          <t>2025-03-12</t>
        </is>
      </c>
      <c r="C14" s="2" t="inlineStr">
        <is>
          <t>Mountain View Bistro</t>
        </is>
      </c>
      <c r="D14" s="3" t="n">
        <v>1135.85</v>
      </c>
      <c r="E14" s="9" t="inlineStr">
        <is>
          <t>PENDING</t>
        </is>
      </c>
      <c r="F14" s="2" t="inlineStr">
        <is>
          <t>Not yet deposited</t>
        </is>
      </c>
    </row>
    <row r="15">
      <c r="A15" s="2" t="inlineStr">
        <is>
          <t>INV-2025-013A</t>
        </is>
      </c>
      <c r="B15" s="2" t="inlineStr">
        <is>
          <t>2025-03-12</t>
        </is>
      </c>
      <c r="C15" s="2" t="inlineStr">
        <is>
          <t>Mountain View Bistro</t>
        </is>
      </c>
      <c r="D15" s="3" t="n">
        <v>1135.85</v>
      </c>
      <c r="E15" s="9" t="inlineStr">
        <is>
          <t>DUPLICATE</t>
        </is>
      </c>
      <c r="F15" s="2" t="inlineStr">
        <is>
          <t>DUPLICATE of INV-2025-013 - do not count</t>
        </is>
      </c>
    </row>
    <row r="16">
      <c r="A16" s="2" t="inlineStr">
        <is>
          <t>INV-2025-014</t>
        </is>
      </c>
      <c r="B16" s="2" t="inlineStr">
        <is>
          <t>2025-03-17</t>
        </is>
      </c>
      <c r="C16" s="2" t="inlineStr">
        <is>
          <t>The Daily Grind Cafe</t>
        </is>
      </c>
      <c r="D16" s="3" t="n">
        <v>540</v>
      </c>
      <c r="E16" s="9" t="inlineStr">
        <is>
          <t>PENDING</t>
        </is>
      </c>
      <c r="F16" s="2" t="inlineStr">
        <is>
          <t>Not yet deposited</t>
        </is>
      </c>
    </row>
    <row r="17">
      <c r="A17" s="2" t="inlineStr">
        <is>
          <t>INV-2025-015</t>
        </is>
      </c>
      <c r="B17" s="2" t="inlineStr">
        <is>
          <t>2025-03-19</t>
        </is>
      </c>
      <c r="C17" s="2" t="inlineStr">
        <is>
          <t>Sunrise Espresso Bar</t>
        </is>
      </c>
      <c r="D17" s="3" t="n">
        <v>526</v>
      </c>
      <c r="E17" s="9" t="inlineStr">
        <is>
          <t>PENDING</t>
        </is>
      </c>
      <c r="F17" s="2" t="inlineStr">
        <is>
          <t>Not yet deposited</t>
        </is>
      </c>
    </row>
    <row r="19">
      <c r="A19" s="4" t="inlineStr">
        <is>
          <t>TOTAL INVOICED</t>
        </is>
      </c>
      <c r="B19" s="4" t="inlineStr"/>
      <c r="C19" s="4" t="inlineStr"/>
      <c r="D19" s="5">
        <f>SUM(D2:D16)-D15</f>
        <v/>
      </c>
      <c r="E19" s="4" t="inlineStr"/>
      <c r="F19" s="4" t="inlineStr"/>
    </row>
    <row r="20">
      <c r="A20" s="2" t="inlineStr">
        <is>
          <t>Total Paid</t>
        </is>
      </c>
      <c r="B20" s="2" t="inlineStr"/>
      <c r="C20" s="2" t="inlineStr"/>
      <c r="D20" s="3">
        <f>SUMIF(E2:E17,"Paid",D2:D17)</f>
        <v/>
      </c>
      <c r="E20" s="2" t="inlineStr"/>
      <c r="F20" s="2" t="inlineStr"/>
    </row>
    <row r="21">
      <c r="A21" s="2" t="inlineStr">
        <is>
          <t>Total Pending</t>
        </is>
      </c>
      <c r="B21" s="2" t="inlineStr"/>
      <c r="C21" s="2" t="inlineStr"/>
      <c r="D21" s="3">
        <f>E19-E20</f>
        <v/>
      </c>
      <c r="E21" s="2" t="inlineStr"/>
      <c r="F21" s="2" t="inlineStr"/>
    </row>
  </sheetData>
  <pageMargins left="0.75" right="0.75" top="1" bottom="1" header="0.5" footer="0.5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cols>
    <col width="40" customWidth="1" min="1" max="1"/>
    <col width="18" customWidth="1" min="2" max="2"/>
    <col width="18" customWidth="1" min="3" max="3"/>
    <col width="18" customWidth="1" min="4" max="4"/>
  </cols>
  <sheetData>
    <row r="1">
      <c r="A1" s="7" t="inlineStr">
        <is>
          <t>BOOKKEEPING DASHBOARD</t>
        </is>
      </c>
    </row>
    <row r="2">
      <c r="A2" s="8" t="inlineStr">
        <is>
          <t>Mountain Pine Coffee Roasters LLC - Q1 2025</t>
        </is>
      </c>
    </row>
    <row r="4">
      <c r="A4" s="6" t="inlineStr">
        <is>
          <t>KEY METRICS</t>
        </is>
      </c>
      <c r="B4" s="6" t="inlineStr"/>
      <c r="C4" s="6" t="inlineStr"/>
      <c r="D4" s="6" t="inlineStr"/>
    </row>
    <row r="5">
      <c r="A5" s="2" t="inlineStr">
        <is>
          <t>Opening Balance (Jan 1)</t>
        </is>
      </c>
      <c r="B5" s="3" t="n">
        <v>15420</v>
      </c>
      <c r="C5" s="2" t="inlineStr"/>
      <c r="D5" s="2" t="inlineStr"/>
    </row>
    <row r="6">
      <c r="A6" s="2" t="inlineStr">
        <is>
          <t>Closing Balance (Mar 31) per Bank</t>
        </is>
      </c>
      <c r="B6" s="3" t="n">
        <v>10846.97</v>
      </c>
      <c r="C6" s="2" t="inlineStr"/>
      <c r="D6" s="2" t="inlineStr"/>
    </row>
    <row r="7">
      <c r="A7" s="2" t="inlineStr">
        <is>
          <t>Total Q1 Income (Bank Statements)</t>
        </is>
      </c>
      <c r="B7" s="3" t="n">
        <v>7269.02</v>
      </c>
      <c r="C7" s="2" t="inlineStr"/>
      <c r="D7" s="2" t="inlineStr"/>
    </row>
    <row r="8">
      <c r="A8" s="2" t="inlineStr">
        <is>
          <t>Total Q1 Expenses (Bank Statements)</t>
        </is>
      </c>
      <c r="B8" s="3" t="n">
        <v>15791.03</v>
      </c>
      <c r="C8" s="2" t="inlineStr"/>
      <c r="D8" s="2" t="inlineStr"/>
    </row>
    <row r="9">
      <c r="A9" s="2" t="inlineStr">
        <is>
          <t>Net Change (Income - Expenses)</t>
        </is>
      </c>
      <c r="B9" s="3">
        <f>B7-B8</f>
        <v/>
      </c>
      <c r="C9" s="2" t="inlineStr"/>
      <c r="D9" s="2" t="inlineStr"/>
    </row>
    <row r="11">
      <c r="A11" s="6" t="inlineStr">
        <is>
          <t>INCOME BREAKDOWN</t>
        </is>
      </c>
      <c r="B11" s="6" t="inlineStr">
        <is>
          <t>January</t>
        </is>
      </c>
      <c r="C11" s="6" t="inlineStr">
        <is>
          <t>February</t>
        </is>
      </c>
      <c r="D11" s="6" t="inlineStr">
        <is>
          <t>March</t>
        </is>
      </c>
    </row>
    <row r="12">
      <c r="A12" s="2" t="inlineStr">
        <is>
          <t>Retail Sales (Online)</t>
        </is>
      </c>
      <c r="B12" s="3" t="n">
        <v>560.77</v>
      </c>
      <c r="C12" s="3" t="n">
        <v>652.85</v>
      </c>
      <c r="D12" s="3" t="n">
        <v>557.52</v>
      </c>
    </row>
    <row r="13">
      <c r="A13" s="2" t="inlineStr">
        <is>
          <t>Wholesale (Cafes/Restaurants)</t>
        </is>
      </c>
      <c r="B13" s="3" t="n">
        <v>690</v>
      </c>
      <c r="C13" s="3" t="n">
        <v>2592.88</v>
      </c>
      <c r="D13" s="3" t="n">
        <v>2315</v>
      </c>
    </row>
    <row r="15">
      <c r="A15" s="6" t="inlineStr">
        <is>
          <t>PENDING RECEIVABLES</t>
        </is>
      </c>
      <c r="B15" s="6" t="inlineStr"/>
      <c r="C15" s="6" t="inlineStr"/>
      <c r="D15" s="6" t="inlineStr"/>
    </row>
    <row r="16">
      <c r="A16" s="2" t="inlineStr">
        <is>
          <t>INV-2025-011 - The Daily Grind Cafe</t>
        </is>
      </c>
      <c r="B16" s="3" t="n">
        <v>610</v>
      </c>
      <c r="C16" s="2" t="inlineStr"/>
      <c r="D16" s="2" t="inlineStr"/>
    </row>
    <row r="17">
      <c r="A17" s="2" t="inlineStr">
        <is>
          <t>INV-2025-013 - Mountain View Bistro</t>
        </is>
      </c>
      <c r="B17" s="3" t="n">
        <v>1135.85</v>
      </c>
      <c r="C17" s="2" t="inlineStr"/>
      <c r="D17" s="2" t="inlineStr"/>
    </row>
    <row r="18">
      <c r="A18" s="2" t="inlineStr">
        <is>
          <t>INV-2025-014 - The Daily Grind Cafe</t>
        </is>
      </c>
      <c r="B18" s="3" t="n">
        <v>540</v>
      </c>
      <c r="C18" s="2" t="inlineStr"/>
      <c r="D18" s="2" t="inlineStr"/>
    </row>
    <row r="19">
      <c r="A19" s="2" t="inlineStr">
        <is>
          <t>INV-2025-015 - Sunrise Espresso Bar</t>
        </is>
      </c>
      <c r="B19" s="3" t="n">
        <v>526</v>
      </c>
      <c r="C19" s="2" t="inlineStr"/>
      <c r="D19" s="2" t="inlineStr"/>
    </row>
    <row r="20">
      <c r="A20" s="4" t="inlineStr">
        <is>
          <t>Total Pending</t>
        </is>
      </c>
      <c r="B20" s="5">
        <f>SUM(B16:B19)</f>
        <v/>
      </c>
      <c r="C20" s="4" t="inlineStr"/>
      <c r="D20" s="4" t="inlineStr"/>
    </row>
    <row r="22">
      <c r="A22" s="6" t="inlineStr">
        <is>
          <t>ISSUES TO RESOLVE</t>
        </is>
      </c>
      <c r="B22" s="6" t="inlineStr"/>
      <c r="C22" s="6" t="inlineStr"/>
      <c r="D22" s="6" t="inlineStr"/>
    </row>
    <row r="23">
      <c r="A23" s="2" t="inlineStr">
        <is>
          <t>1. CRITICAL: Bank statement opening balances do not chain between months</t>
        </is>
      </c>
      <c r="B23" s="2" t="inlineStr"/>
      <c r="C23" s="2" t="inlineStr"/>
      <c r="D23" s="2" t="inlineStr"/>
    </row>
    <row r="24">
      <c r="A24" s="2" t="inlineStr">
        <is>
          <t xml:space="preserve">   Jan ends $11,960.09 but Feb opens $13,940.09 (diff: $1,980.00)</t>
        </is>
      </c>
      <c r="B24" s="2" t="inlineStr"/>
      <c r="C24" s="2" t="inlineStr"/>
      <c r="D24" s="2" t="inlineStr"/>
    </row>
    <row r="25">
      <c r="A25" s="2" t="inlineStr">
        <is>
          <t xml:space="preserve">   Feb ends $12,251.70 but Mar opens $14,220.68 (diff: $1,968.98)</t>
        </is>
      </c>
      <c r="B25" s="2" t="inlineStr"/>
      <c r="C25" s="2" t="inlineStr"/>
      <c r="D25" s="2" t="inlineStr"/>
    </row>
    <row r="26">
      <c r="A26" s="2" t="inlineStr">
        <is>
          <t>2. Missing receipt: Coffee Tech Services repair (March) - per notes.txt</t>
        </is>
      </c>
      <c r="B26" s="2" t="inlineStr"/>
      <c r="C26" s="2" t="inlineStr"/>
      <c r="D26" s="2" t="inlineStr"/>
    </row>
    <row r="27">
      <c r="A27" s="2" t="inlineStr">
        <is>
          <t>3. Duplicate invoice: INV-2025-013 and INV-2025-013A (Mountain View Bistro)</t>
        </is>
      </c>
      <c r="B27" s="2" t="inlineStr"/>
      <c r="C27" s="2" t="inlineStr"/>
      <c r="D27" s="2" t="inlineStr"/>
    </row>
    <row r="28">
      <c r="A28" s="2" t="inlineStr">
        <is>
          <t>4. Duplicate files found: PUR-019, PUR-022, PUR-033 have copies in Receipts folder</t>
        </is>
      </c>
      <c r="B28" s="2" t="inlineStr"/>
      <c r="C28" s="2" t="inlineStr"/>
      <c r="D28" s="2" t="inlineStr"/>
    </row>
    <row r="29">
      <c r="A29" s="2" t="inlineStr">
        <is>
          <t>5. Follow up on unpaid invoices ($2,811.85 pending) - per notes.txt</t>
        </is>
      </c>
      <c r="B29" s="2" t="inlineStr"/>
      <c r="C29" s="2" t="inlineStr"/>
      <c r="D29" s="2" t="inlineStr"/>
    </row>
    <row r="30">
      <c r="A30" s="2" t="inlineStr">
        <is>
          <t>6. IMG_2847.jpg in To File folder needs identification</t>
        </is>
      </c>
      <c r="B30" s="2" t="inlineStr"/>
      <c r="C30" s="2" t="inlineStr"/>
      <c r="D30" s="2" t="inlineStr"/>
    </row>
    <row r="31">
      <c r="A31" s="2" t="inlineStr">
        <is>
          <t>7. No rent, insurance, or bank fees visible - may be on different account</t>
        </is>
      </c>
      <c r="B31" s="2" t="inlineStr"/>
      <c r="C31" s="2" t="inlineStr"/>
      <c r="D31" s="2" t="inlineStr"/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2026-03-10T18:56:18Z</dcterms:created>
  <dcterms:modified xmlns:dcterms="http://purl.org/dc/terms/" xmlns:xsi="http://www.w3.org/2001/XMLSchema-instance" xsi:type="dcterms:W3CDTF">2026-03-10T18:56:18Z</dcterms:modified>
</cp:coreProperties>
</file>